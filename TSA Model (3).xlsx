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gregate Forecast" sheetId="1" r:id="rId4"/>
    <sheet state="hidden" name="Claude Cache" sheetId="2" r:id="rId5"/>
    <sheet state="visible" name="Virtual Schools" sheetId="3" r:id="rId6"/>
    <sheet state="visible" name="Microschools" sheetId="4" r:id="rId7"/>
    <sheet state="visible" name="Mid-Sized Schools" sheetId="5" r:id="rId8"/>
    <sheet state="visible" name="Flagship Schools" sheetId="6" r:id="rId9"/>
    <sheet state="visible" name="School Assumptions" sheetId="7" r:id="rId10"/>
    <sheet state="visible" name="Headcount Assumptions" sheetId="8" r:id="rId1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5">
      <text>
        <t xml:space="preserve">Might be slightly aggressive given capex component but may wash out due to cheap purchase on some properties
	-Mark Rozeboom
----
Used simplified 10yr balloon loans with annual interest
	-Mark Rozeboom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4">
      <text>
        <t xml:space="preserve">@mark.rozeboom@trilogy.com - the marketing timing needs to be addressed in the next rev of the model
	-David Harpur</t>
      </text>
    </comment>
    <comment authorId="0" ref="C44">
      <text>
        <t xml:space="preserve">@mark.rozeboom@trilogy.com - isn't this &gt; $0?
	-David Harpur</t>
      </text>
    </comment>
    <comment authorId="0" ref="B41">
      <text>
        <t xml:space="preserve">@mark.rozeboom@trilogy.com - what #s in the model does this actual drive?
	-David Harpur
----
Tooling around with Jack
	-Mark Rozeboom</t>
      </text>
    </comment>
    <comment authorId="0" ref="B14">
      <text>
        <t xml:space="preserve">Would this presumably include legal fees etc
	-Mark Rozeboom</t>
      </text>
    </comment>
    <comment authorId="0" ref="G41">
      <text>
        <t xml:space="preserve">Assumes 1/4 6-8, 1/4 K-8, 1/4 K-12
	-Mark Rozeboom</t>
      </text>
    </comment>
    <comment authorId="0" ref="F41">
      <text>
        <t xml:space="preserve">Assumes K-12 expansion, now 1/3 split between 6-8, K-8, K-12
	-Mark Rozeboom</t>
      </text>
    </comment>
    <comment authorId="0" ref="E41">
      <text>
        <t xml:space="preserve">Assumes broadening to K-8, split 50/50
	-Mark Rozeboom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82">
      <text>
        <t xml:space="preserve">To keep it simple, using annual interest, 10yr balloon repay
	-Mark Rozeboom</t>
      </text>
    </comment>
    <comment authorId="0" ref="B35">
      <text>
        <t xml:space="preserve">May need to add some de minimus facility fee (utilities security etc)
	-Mark Rozeboom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2">
      <text>
        <t xml:space="preserve">@mark.rozeboom@trilogy.com - what about ongoing facilities costs (heating, security, internet, etc.)?
	-David Harpur</t>
      </text>
    </comment>
    <comment authorId="0" ref="B63">
      <text>
        <t xml:space="preserve">Used Gross PP&amp;E
	-Mark Rozeboom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0">
      <text>
        <t xml:space="preserve">@mark.rozeboom@trilogy.com @jan.dejager@trilogy.com - don't we need at least one lead guide at each level and for every X students?
	-David Harpur
The original model had 2 LGs for a 250 student school at 25:1 ratio. I updated this to reflect the same. 
https://docs.google.com/spreadsheets/d/1T49IEUSsSGNVrgs9lErkA5Pr7vSs_zDIUk6mETaC3pA/edit?gid=2006743580#gid=2006743580&amp;range=A1
	-Jan De Jager
https://docs.google.com/spreadsheets/d/1g7CFfdy1hvdl2ffQVEiVz3d4UEUPfGa3opuY84VJXdg/edit?gid=929559615#gid=929559615
	-Mark Rozeboom</t>
      </text>
    </comment>
  </commentList>
</comments>
</file>

<file path=xl/sharedStrings.xml><?xml version="1.0" encoding="utf-8"?>
<sst xmlns="http://schemas.openxmlformats.org/spreadsheetml/2006/main" count="456" uniqueCount="178">
  <si>
    <t>TSA Overall</t>
  </si>
  <si>
    <t>Description</t>
  </si>
  <si>
    <t>Tuition Revenue</t>
  </si>
  <si>
    <t>Virtual Schools</t>
  </si>
  <si>
    <t># Students</t>
  </si>
  <si>
    <t>Microschools</t>
  </si>
  <si>
    <t>Mid-Sized Schools</t>
  </si>
  <si>
    <t>Flagships</t>
  </si>
  <si>
    <t>Total Revenue</t>
  </si>
  <si>
    <t>Total # of Students</t>
  </si>
  <si>
    <t>Timeback</t>
  </si>
  <si>
    <t>EBITDA (ex-Marketing)</t>
  </si>
  <si>
    <t>Total EBITDA (ex-Marketing)</t>
  </si>
  <si>
    <t>Margin</t>
  </si>
  <si>
    <t>Marketing</t>
  </si>
  <si>
    <t>Top-of-funnel</t>
  </si>
  <si>
    <t>Bottom-of-funnel</t>
  </si>
  <si>
    <t>Total Marketing</t>
  </si>
  <si>
    <t>EBITDA</t>
  </si>
  <si>
    <t>Total EBITDA</t>
  </si>
  <si>
    <t>Pre-Tax Cash Flows</t>
  </si>
  <si>
    <t>Property Value</t>
  </si>
  <si>
    <t>Mid-Sized / Flagship</t>
  </si>
  <si>
    <t>Cash Flows</t>
  </si>
  <si>
    <t>Terminal Value</t>
  </si>
  <si>
    <t>DCF Cash Flows</t>
  </si>
  <si>
    <t>Pre-Tax IRR</t>
  </si>
  <si>
    <t>Revenue Multiple</t>
  </si>
  <si>
    <t>Low</t>
  </si>
  <si>
    <t>Mid</t>
  </si>
  <si>
    <t>High</t>
  </si>
  <si>
    <t>EBITDA Multiple</t>
  </si>
  <si>
    <t>Revenue Valuation</t>
  </si>
  <si>
    <t>EBITDA Valuation</t>
  </si>
  <si>
    <t>Valuation Range</t>
  </si>
  <si>
    <t>⚠️ SHEET RESERVED FOR =CLAUDE... FUNCTIONS. DO NOT EDIT! ⚠️</t>
  </si>
  <si>
    <t>Key</t>
  </si>
  <si>
    <t>Value</t>
  </si>
  <si>
    <t>Expiration</t>
  </si>
  <si>
    <t>TSA Virtual School</t>
  </si>
  <si>
    <t>Virtual School</t>
  </si>
  <si>
    <t>SY 2026</t>
  </si>
  <si>
    <t>SY 2027</t>
  </si>
  <si>
    <t>SY 2028</t>
  </si>
  <si>
    <t>SY 2029</t>
  </si>
  <si>
    <t>SY 2030</t>
  </si>
  <si>
    <t>SY 2031</t>
  </si>
  <si>
    <t>SY 2032</t>
  </si>
  <si>
    <t>SY 2033</t>
  </si>
  <si>
    <t>SY 2034</t>
  </si>
  <si>
    <t>SY 2035</t>
  </si>
  <si>
    <t>SY 2036</t>
  </si>
  <si>
    <t>Students</t>
  </si>
  <si>
    <t>Tuition</t>
  </si>
  <si>
    <t>Organic Churn</t>
  </si>
  <si>
    <t>Average Student Life</t>
  </si>
  <si>
    <t>Total Students</t>
  </si>
  <si>
    <t>Beginning / End of Previous SY</t>
  </si>
  <si>
    <t>Rollover Churn</t>
  </si>
  <si>
    <t>New (at start of SY)</t>
  </si>
  <si>
    <t>Enrolled for SY</t>
  </si>
  <si>
    <t>Expenses (per student)</t>
  </si>
  <si>
    <t>Headcount</t>
  </si>
  <si>
    <t>Programs</t>
  </si>
  <si>
    <t>Misc. Expense</t>
  </si>
  <si>
    <t xml:space="preserve">Expenditures per Student </t>
  </si>
  <si>
    <t>Expenditures</t>
  </si>
  <si>
    <t>Top of Funnel</t>
  </si>
  <si>
    <t>Bottom of Funnel</t>
  </si>
  <si>
    <t>Pre-Tax Profit</t>
  </si>
  <si>
    <t>Total Cash Flow</t>
  </si>
  <si>
    <t>Microschool Forecast</t>
  </si>
  <si>
    <t>No. of Schools</t>
  </si>
  <si>
    <t>20</t>
  </si>
  <si>
    <t>60</t>
  </si>
  <si>
    <t>180</t>
  </si>
  <si>
    <t>540</t>
  </si>
  <si>
    <t>4,000</t>
  </si>
  <si>
    <t>Students per School</t>
  </si>
  <si>
    <t>Unit Economics / Student</t>
  </si>
  <si>
    <t>Coach Salary</t>
  </si>
  <si>
    <t>Real Estate</t>
  </si>
  <si>
    <t>Life Skills Workshops</t>
  </si>
  <si>
    <t>Misc Expenses (computer, etc.)</t>
  </si>
  <si>
    <t>Total Expenses</t>
  </si>
  <si>
    <t>EBITDA / Student</t>
  </si>
  <si>
    <t>EBITDA Margin</t>
  </si>
  <si>
    <t>School Composition</t>
  </si>
  <si>
    <t>Existing Schools</t>
  </si>
  <si>
    <t>New Schools</t>
  </si>
  <si>
    <t>Total Schools</t>
  </si>
  <si>
    <t>Programs / Motivation</t>
  </si>
  <si>
    <t>Profit (pre-Facilities)</t>
  </si>
  <si>
    <t>1-Year Old Schools</t>
  </si>
  <si>
    <t>2-Year Old Schools</t>
  </si>
  <si>
    <t>3-Year Old Schools</t>
  </si>
  <si>
    <t>Total Tuition Revenue</t>
  </si>
  <si>
    <t>Total Expenditures</t>
  </si>
  <si>
    <t>Profit (ex-Facilities)</t>
  </si>
  <si>
    <t>Facilities Costs</t>
  </si>
  <si>
    <t>Purchases</t>
  </si>
  <si>
    <t>Capex</t>
  </si>
  <si>
    <t>PP&amp;E</t>
  </si>
  <si>
    <t>Gross PP&amp;E</t>
  </si>
  <si>
    <t>Net PP&amp;E</t>
  </si>
  <si>
    <t>Annual Depreciation</t>
  </si>
  <si>
    <t>Facilities Cash Outlay</t>
  </si>
  <si>
    <t>Facilities Value</t>
  </si>
  <si>
    <t>Book Value</t>
  </si>
  <si>
    <t>Improvements</t>
  </si>
  <si>
    <t>Total Property Value</t>
  </si>
  <si>
    <t>Annual Facilities Expense Manual</t>
  </si>
  <si>
    <t>**You can disregard, this is my manual reconcile assuming 10 yrs</t>
  </si>
  <si>
    <t>Facilities / Student</t>
  </si>
  <si>
    <t>**Both of these ignore Depreciation</t>
  </si>
  <si>
    <t xml:space="preserve">Annual Facilities </t>
  </si>
  <si>
    <t>EBITDA with Marketing</t>
  </si>
  <si>
    <t>EBIT</t>
  </si>
  <si>
    <t>Total Cash Flows</t>
  </si>
  <si>
    <t>Simple DCF</t>
  </si>
  <si>
    <t>Real-Estate Value</t>
  </si>
  <si>
    <t>IRR</t>
  </si>
  <si>
    <t>Flagship Schools</t>
  </si>
  <si>
    <t>4-Year Old Schools</t>
  </si>
  <si>
    <t>Annual Facilities</t>
  </si>
  <si>
    <t>Profit / Student</t>
  </si>
  <si>
    <t>EBITDA (with Marketing)</t>
  </si>
  <si>
    <t>Valuation Cash Flows</t>
  </si>
  <si>
    <t>Students / School</t>
  </si>
  <si>
    <t>Fill Rate</t>
  </si>
  <si>
    <t>Year 1</t>
  </si>
  <si>
    <t>Year 2</t>
  </si>
  <si>
    <t>Renovated School</t>
  </si>
  <si>
    <t>Purchase Price per School</t>
  </si>
  <si>
    <t>Capex per School</t>
  </si>
  <si>
    <t>Deprecation Period</t>
  </si>
  <si>
    <t>Building Equity</t>
  </si>
  <si>
    <t>Interest Rate</t>
  </si>
  <si>
    <t>New Build</t>
  </si>
  <si>
    <t>Renovated as % of Total Schools</t>
  </si>
  <si>
    <t xml:space="preserve">Year 3 </t>
  </si>
  <si>
    <t>Year 4</t>
  </si>
  <si>
    <t>Tax Rate</t>
  </si>
  <si>
    <t>Churn</t>
  </si>
  <si>
    <t>Can look at FC Dallas deal from 2004/2005 as comp</t>
  </si>
  <si>
    <t>Per Claude, construction costs up 85-110% over past 20 years</t>
  </si>
  <si>
    <t>City/County contributed land</t>
  </si>
  <si>
    <t>School District</t>
  </si>
  <si>
    <t>City/County</t>
  </si>
  <si>
    <t>Hunt Sports Group</t>
  </si>
  <si>
    <t>Annual Facilities Cost</t>
  </si>
  <si>
    <t>Construction Cost</t>
  </si>
  <si>
    <t>Licensing Deal</t>
  </si>
  <si>
    <t>Cost Post-Licensing</t>
  </si>
  <si>
    <t>HSG Revenue</t>
  </si>
  <si>
    <t>Year 5</t>
  </si>
  <si>
    <t>City/County Cost</t>
  </si>
  <si>
    <t>Public Funding</t>
  </si>
  <si>
    <t>Public %</t>
  </si>
  <si>
    <t>HSG Cost</t>
  </si>
  <si>
    <t>HSG %</t>
  </si>
  <si>
    <t>2025 Model</t>
  </si>
  <si>
    <t>LL</t>
  </si>
  <si>
    <t>L1</t>
  </si>
  <si>
    <t>L2</t>
  </si>
  <si>
    <t>L3</t>
  </si>
  <si>
    <t>Lead Guide</t>
  </si>
  <si>
    <t>Guide</t>
  </si>
  <si>
    <t>Assistant</t>
  </si>
  <si>
    <t>Head Guide</t>
  </si>
  <si>
    <t>Admin</t>
  </si>
  <si>
    <t>Lead Guide Ratio</t>
  </si>
  <si>
    <t>Guide Ratio</t>
  </si>
  <si>
    <t>Per Student</t>
  </si>
  <si>
    <t>Other HC</t>
  </si>
  <si>
    <t>Motivation</t>
  </si>
  <si>
    <t>Workshops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</si>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</sst>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(&quot;$&quot;* #,##0_);_(&quot;$&quot;* \(#,##0\);_(&quot;$&quot;* &quot;-&quot;??_);_(@_)"/>
    <numFmt numFmtId="165" formatCode="0.0%"/>
    <numFmt numFmtId="166" formatCode="0.0 &quot;years&quot;"/>
    <numFmt numFmtId="167" formatCode="&quot;$&quot;#,##0"/>
    <numFmt numFmtId="168" formatCode="&quot;$&quot;#,##0.00"/>
    <numFmt numFmtId="169" formatCode="#,##0.0"/>
  </numFmts>
  <fonts count="16">
    <font>
      <sz val="10.0"/>
      <color rgb="FF000000"/>
      <name val="Arial"/>
      <scheme val="minor"/>
    </font>
    <font>
      <b/>
      <i/>
      <sz val="9.0"/>
      <color theme="1"/>
      <name val="Arial"/>
    </font>
    <font>
      <sz val="9.0"/>
      <color theme="1"/>
      <name val="Arial"/>
    </font>
    <font>
      <b/>
      <sz val="9.0"/>
      <color rgb="FFFFFFFF"/>
      <name val="Arial"/>
    </font>
    <font>
      <i/>
      <sz val="9.0"/>
      <color theme="1"/>
      <name val="Arial"/>
    </font>
    <font>
      <b/>
      <sz val="9.0"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b/>
      <i/>
      <color theme="1"/>
      <name val="Arial"/>
      <scheme val="minor"/>
    </font>
    <font>
      <color theme="1"/>
      <name val="Arial"/>
    </font>
    <font>
      <sz val="9.0"/>
      <color theme="1"/>
      <name val="Arial"/>
      <scheme val="minor"/>
    </font>
    <font>
      <b/>
      <sz val="9.0"/>
      <color theme="1"/>
      <name val="Arial"/>
      <scheme val="minor"/>
    </font>
    <font/>
    <font>
      <i/>
      <color theme="1"/>
      <name val="Arial"/>
      <scheme val="minor"/>
    </font>
    <font>
      <b/>
      <color theme="1"/>
      <name val="Arial"/>
    </font>
    <font>
      <i/>
      <sz val="8.0"/>
      <color theme="1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CCCCCC"/>
        <bgColor rgb="FFCCCCCC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A4C2F4"/>
        <bgColor rgb="FFA4C2F4"/>
      </patternFill>
    </fill>
    <fill>
      <patternFill patternType="solid">
        <fgColor rgb="FFD5A6BD"/>
        <bgColor rgb="FFD5A6BD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B4A7D6"/>
        <bgColor rgb="FFB4A7D6"/>
      </patternFill>
    </fill>
    <fill>
      <patternFill patternType="solid">
        <fgColor rgb="FFB7E1CD"/>
        <bgColor rgb="FFB7E1CD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E06666"/>
        <bgColor rgb="FFE06666"/>
      </patternFill>
    </fill>
    <fill>
      <patternFill patternType="solid">
        <fgColor theme="4"/>
        <bgColor theme="4"/>
      </patternFill>
    </fill>
    <fill>
      <patternFill patternType="solid">
        <fgColor rgb="FFEFEFEF"/>
        <bgColor rgb="FFEFEFEF"/>
      </patternFill>
    </fill>
  </fills>
  <borders count="2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1" fillId="2" fontId="3" numFmtId="0" xfId="0" applyBorder="1" applyFill="1" applyFont="1"/>
    <xf borderId="1" fillId="2" fontId="3" numFmtId="0" xfId="0" applyAlignment="1" applyBorder="1" applyFont="1">
      <alignment horizontal="center"/>
    </xf>
    <xf borderId="0" fillId="3" fontId="1" numFmtId="0" xfId="0" applyAlignment="1" applyFill="1" applyFont="1">
      <alignment readingOrder="0"/>
    </xf>
    <xf borderId="0" fillId="3" fontId="2" numFmtId="0" xfId="0" applyFont="1"/>
    <xf borderId="1" fillId="0" fontId="2" numFmtId="0" xfId="0" applyAlignment="1" applyBorder="1" applyFont="1">
      <alignment readingOrder="0"/>
    </xf>
    <xf borderId="1" fillId="0" fontId="2" numFmtId="164" xfId="0" applyBorder="1" applyFont="1" applyNumberFormat="1"/>
    <xf borderId="1" fillId="0" fontId="4" numFmtId="0" xfId="0" applyAlignment="1" applyBorder="1" applyFont="1">
      <alignment readingOrder="0"/>
    </xf>
    <xf borderId="1" fillId="0" fontId="4" numFmtId="3" xfId="0" applyBorder="1" applyFont="1" applyNumberFormat="1"/>
    <xf borderId="1" fillId="0" fontId="2" numFmtId="0" xfId="0" applyBorder="1" applyFont="1"/>
    <xf borderId="1" fillId="0" fontId="2" numFmtId="3" xfId="0" applyBorder="1" applyFont="1" applyNumberFormat="1"/>
    <xf borderId="2" fillId="0" fontId="2" numFmtId="0" xfId="0" applyBorder="1" applyFont="1"/>
    <xf borderId="3" fillId="4" fontId="5" numFmtId="0" xfId="0" applyAlignment="1" applyBorder="1" applyFill="1" applyFont="1">
      <alignment readingOrder="0"/>
    </xf>
    <xf borderId="4" fillId="4" fontId="5" numFmtId="164" xfId="0" applyBorder="1" applyFont="1" applyNumberFormat="1"/>
    <xf borderId="5" fillId="4" fontId="5" numFmtId="164" xfId="0" applyBorder="1" applyFont="1" applyNumberFormat="1"/>
    <xf borderId="6" fillId="4" fontId="1" numFmtId="0" xfId="0" applyAlignment="1" applyBorder="1" applyFont="1">
      <alignment readingOrder="0"/>
    </xf>
    <xf borderId="7" fillId="4" fontId="1" numFmtId="3" xfId="0" applyBorder="1" applyFont="1" applyNumberFormat="1"/>
    <xf borderId="8" fillId="4" fontId="1" numFmtId="3" xfId="0" applyBorder="1" applyFont="1" applyNumberFormat="1"/>
    <xf borderId="0" fillId="0" fontId="2" numFmtId="0" xfId="0" applyAlignment="1" applyFont="1">
      <alignment readingOrder="0"/>
    </xf>
    <xf borderId="1" fillId="5" fontId="5" numFmtId="0" xfId="0" applyAlignment="1" applyBorder="1" applyFill="1" applyFont="1">
      <alignment readingOrder="0"/>
    </xf>
    <xf borderId="1" fillId="5" fontId="5" numFmtId="164" xfId="0" applyBorder="1" applyFont="1" applyNumberFormat="1"/>
    <xf borderId="2" fillId="0" fontId="2" numFmtId="0" xfId="0" applyAlignment="1" applyBorder="1" applyFont="1">
      <alignment readingOrder="0"/>
    </xf>
    <xf borderId="2" fillId="0" fontId="2" numFmtId="164" xfId="0" applyBorder="1" applyFont="1" applyNumberFormat="1"/>
    <xf borderId="9" fillId="6" fontId="5" numFmtId="0" xfId="0" applyAlignment="1" applyBorder="1" applyFill="1" applyFont="1">
      <alignment readingOrder="0"/>
    </xf>
    <xf borderId="10" fillId="6" fontId="5" numFmtId="164" xfId="0" applyBorder="1" applyFont="1" applyNumberFormat="1"/>
    <xf borderId="11" fillId="6" fontId="5" numFmtId="164" xfId="0" applyBorder="1" applyFont="1" applyNumberFormat="1"/>
    <xf borderId="9" fillId="6" fontId="1" numFmtId="0" xfId="0" applyAlignment="1" applyBorder="1" applyFont="1">
      <alignment readingOrder="0"/>
    </xf>
    <xf borderId="10" fillId="6" fontId="5" numFmtId="165" xfId="0" applyBorder="1" applyFont="1" applyNumberFormat="1"/>
    <xf borderId="1" fillId="7" fontId="5" numFmtId="0" xfId="0" applyAlignment="1" applyBorder="1" applyFill="1" applyFont="1">
      <alignment readingOrder="0"/>
    </xf>
    <xf borderId="1" fillId="7" fontId="5" numFmtId="164" xfId="0" applyBorder="1" applyFont="1" applyNumberFormat="1"/>
    <xf borderId="1" fillId="0" fontId="1" numFmtId="0" xfId="0" applyAlignment="1" applyBorder="1" applyFont="1">
      <alignment readingOrder="0"/>
    </xf>
    <xf borderId="1" fillId="0" fontId="5" numFmtId="164" xfId="0" applyBorder="1" applyFont="1" applyNumberFormat="1"/>
    <xf borderId="6" fillId="8" fontId="5" numFmtId="0" xfId="0" applyAlignment="1" applyBorder="1" applyFill="1" applyFont="1">
      <alignment readingOrder="0"/>
    </xf>
    <xf borderId="7" fillId="8" fontId="5" numFmtId="164" xfId="0" applyBorder="1" applyFont="1" applyNumberFormat="1"/>
    <xf borderId="8" fillId="8" fontId="5" numFmtId="164" xfId="0" applyBorder="1" applyFont="1" applyNumberFormat="1"/>
    <xf borderId="9" fillId="8" fontId="5" numFmtId="0" xfId="0" applyAlignment="1" applyBorder="1" applyFont="1">
      <alignment readingOrder="0"/>
    </xf>
    <xf borderId="0" fillId="8" fontId="6" numFmtId="0" xfId="0" applyFont="1"/>
    <xf borderId="0" fillId="8" fontId="2" numFmtId="0" xfId="0" applyFont="1"/>
    <xf borderId="10" fillId="8" fontId="5" numFmtId="164" xfId="0" applyBorder="1" applyFont="1" applyNumberFormat="1"/>
    <xf borderId="0" fillId="8" fontId="5" numFmtId="164" xfId="0" applyFont="1" applyNumberFormat="1"/>
    <xf borderId="11" fillId="8" fontId="5" numFmtId="9" xfId="0" applyBorder="1" applyFont="1" applyNumberFormat="1"/>
    <xf borderId="0" fillId="0" fontId="7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164" xfId="0" applyFont="1" applyNumberFormat="1"/>
    <xf borderId="0" fillId="0" fontId="7" numFmtId="0" xfId="0" applyAlignment="1" applyFont="1">
      <alignment horizontal="left" shrinkToFit="0" wrapText="1"/>
    </xf>
    <xf borderId="0" fillId="0" fontId="7" numFmtId="0" xfId="0" applyFont="1"/>
    <xf borderId="0" fillId="0" fontId="7" numFmtId="0" xfId="0" applyAlignment="1" applyFont="1">
      <alignment horizontal="left" readingOrder="0" shrinkToFit="0" wrapText="1"/>
    </xf>
    <xf borderId="0" fillId="0" fontId="6" numFmtId="0" xfId="0" applyAlignment="1" applyFont="1">
      <alignment horizontal="left" shrinkToFit="0" wrapText="1"/>
    </xf>
    <xf borderId="0" fillId="0" fontId="8" numFmtId="0" xfId="0" applyAlignment="1" applyFont="1">
      <alignment readingOrder="0"/>
    </xf>
    <xf borderId="1" fillId="2" fontId="3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 vertical="bottom"/>
    </xf>
    <xf borderId="1" fillId="0" fontId="2" numFmtId="3" xfId="0" applyAlignment="1" applyBorder="1" applyFont="1" applyNumberFormat="1">
      <alignment horizontal="right" readingOrder="0" vertical="bottom"/>
    </xf>
    <xf borderId="1" fillId="0" fontId="2" numFmtId="0" xfId="0" applyAlignment="1" applyBorder="1" applyFont="1">
      <alignment vertical="bottom"/>
    </xf>
    <xf borderId="1" fillId="0" fontId="2" numFmtId="164" xfId="0" applyAlignment="1" applyBorder="1" applyFont="1" applyNumberFormat="1">
      <alignment horizontal="right" readingOrder="0" vertical="bottom"/>
    </xf>
    <xf borderId="2" fillId="0" fontId="2" numFmtId="0" xfId="0" applyAlignment="1" applyBorder="1" applyFont="1">
      <alignment readingOrder="0" vertical="bottom"/>
    </xf>
    <xf borderId="2" fillId="0" fontId="2" numFmtId="9" xfId="0" applyAlignment="1" applyBorder="1" applyFont="1" applyNumberFormat="1">
      <alignment horizontal="right" readingOrder="0" vertical="bottom"/>
    </xf>
    <xf borderId="12" fillId="0" fontId="2" numFmtId="164" xfId="0" applyAlignment="1" applyBorder="1" applyFont="1" applyNumberFormat="1">
      <alignment readingOrder="0" vertical="bottom"/>
    </xf>
    <xf borderId="13" fillId="0" fontId="2" numFmtId="166" xfId="0" applyAlignment="1" applyBorder="1" applyFont="1" applyNumberFormat="1">
      <alignment horizontal="right" vertical="bottom"/>
    </xf>
    <xf borderId="14" fillId="4" fontId="5" numFmtId="164" xfId="0" applyAlignment="1" applyBorder="1" applyFont="1" applyNumberFormat="1">
      <alignment readingOrder="0" vertical="bottom"/>
    </xf>
    <xf borderId="15" fillId="4" fontId="5" numFmtId="164" xfId="0" applyAlignment="1" applyBorder="1" applyFont="1" applyNumberFormat="1">
      <alignment horizontal="right" vertical="bottom"/>
    </xf>
    <xf borderId="0" fillId="3" fontId="1" numFmtId="0" xfId="0" applyAlignment="1" applyFont="1">
      <alignment vertical="bottom"/>
    </xf>
    <xf borderId="0" fillId="3" fontId="9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1" fillId="0" fontId="2" numFmtId="3" xfId="0" applyAlignment="1" applyBorder="1" applyFont="1" applyNumberFormat="1">
      <alignment horizontal="right" vertical="bottom"/>
    </xf>
    <xf borderId="2" fillId="0" fontId="2" numFmtId="3" xfId="0" applyAlignment="1" applyBorder="1" applyFont="1" applyNumberFormat="1">
      <alignment horizontal="right" vertical="bottom"/>
    </xf>
    <xf borderId="1" fillId="0" fontId="10" numFmtId="3" xfId="0" applyBorder="1" applyFont="1" applyNumberFormat="1"/>
    <xf borderId="2" fillId="0" fontId="2" numFmtId="0" xfId="0" applyAlignment="1" applyBorder="1" applyFont="1">
      <alignment vertical="bottom"/>
    </xf>
    <xf borderId="16" fillId="9" fontId="5" numFmtId="0" xfId="0" applyAlignment="1" applyBorder="1" applyFill="1" applyFont="1">
      <alignment vertical="bottom"/>
    </xf>
    <xf borderId="17" fillId="9" fontId="5" numFmtId="3" xfId="0" applyAlignment="1" applyBorder="1" applyFont="1" applyNumberFormat="1">
      <alignment horizontal="right" vertical="bottom"/>
    </xf>
    <xf borderId="0" fillId="3" fontId="8" numFmtId="0" xfId="0" applyAlignment="1" applyFont="1">
      <alignment readingOrder="0"/>
    </xf>
    <xf borderId="0" fillId="3" fontId="6" numFmtId="0" xfId="0" applyFont="1"/>
    <xf borderId="0" fillId="0" fontId="6" numFmtId="164" xfId="0" applyAlignment="1" applyFont="1" applyNumberFormat="1">
      <alignment readingOrder="0"/>
    </xf>
    <xf borderId="3" fillId="5" fontId="7" numFmtId="0" xfId="0" applyAlignment="1" applyBorder="1" applyFont="1">
      <alignment readingOrder="0"/>
    </xf>
    <xf borderId="4" fillId="5" fontId="7" numFmtId="164" xfId="0" applyBorder="1" applyFont="1" applyNumberFormat="1"/>
    <xf borderId="5" fillId="5" fontId="7" numFmtId="164" xfId="0" applyBorder="1" applyFont="1" applyNumberFormat="1"/>
    <xf borderId="6" fillId="5" fontId="7" numFmtId="0" xfId="0" applyAlignment="1" applyBorder="1" applyFont="1">
      <alignment readingOrder="0"/>
    </xf>
    <xf borderId="7" fillId="5" fontId="7" numFmtId="164" xfId="0" applyBorder="1" applyFont="1" applyNumberFormat="1"/>
    <xf borderId="8" fillId="5" fontId="7" numFmtId="164" xfId="0" applyBorder="1" applyFont="1" applyNumberFormat="1"/>
    <xf borderId="0" fillId="3" fontId="6" numFmtId="164" xfId="0" applyFont="1" applyNumberFormat="1"/>
    <xf borderId="0" fillId="10" fontId="7" numFmtId="0" xfId="0" applyAlignment="1" applyFill="1" applyFont="1">
      <alignment readingOrder="0"/>
    </xf>
    <xf borderId="0" fillId="10" fontId="7" numFmtId="164" xfId="0" applyFont="1" applyNumberFormat="1"/>
    <xf borderId="3" fillId="6" fontId="7" numFmtId="0" xfId="0" applyAlignment="1" applyBorder="1" applyFont="1">
      <alignment readingOrder="0"/>
    </xf>
    <xf borderId="4" fillId="6" fontId="7" numFmtId="164" xfId="0" applyAlignment="1" applyBorder="1" applyFont="1" applyNumberFormat="1">
      <alignment readingOrder="0"/>
    </xf>
    <xf borderId="9" fillId="8" fontId="7" numFmtId="0" xfId="0" applyAlignment="1" applyBorder="1" applyFont="1">
      <alignment readingOrder="0"/>
    </xf>
    <xf borderId="10" fillId="8" fontId="7" numFmtId="164" xfId="0" applyBorder="1" applyFont="1" applyNumberFormat="1"/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2" numFmtId="3" xfId="0" applyAlignment="1" applyFont="1" applyNumberFormat="1">
      <alignment horizontal="right" readingOrder="0" vertical="bottom"/>
    </xf>
    <xf borderId="1" fillId="9" fontId="5" numFmtId="0" xfId="0" applyAlignment="1" applyBorder="1" applyFont="1">
      <alignment readingOrder="0" vertical="bottom"/>
    </xf>
    <xf borderId="1" fillId="9" fontId="5" numFmtId="3" xfId="0" applyAlignment="1" applyBorder="1" applyFont="1" applyNumberFormat="1">
      <alignment horizontal="right" readingOrder="0" vertical="bottom"/>
    </xf>
    <xf borderId="1" fillId="0" fontId="2" numFmtId="165" xfId="0" applyAlignment="1" applyBorder="1" applyFont="1" applyNumberFormat="1">
      <alignment horizontal="right" vertical="bottom"/>
    </xf>
    <xf borderId="1" fillId="0" fontId="2" numFmtId="166" xfId="0" applyAlignment="1" applyBorder="1" applyFont="1" applyNumberFormat="1">
      <alignment horizontal="right" vertical="bottom"/>
    </xf>
    <xf borderId="1" fillId="0" fontId="1" numFmtId="0" xfId="0" applyAlignment="1" applyBorder="1" applyFont="1">
      <alignment readingOrder="0" vertical="bottom"/>
    </xf>
    <xf borderId="1" fillId="0" fontId="2" numFmtId="164" xfId="0" applyAlignment="1" applyBorder="1" applyFont="1" applyNumberFormat="1">
      <alignment horizontal="right" vertical="bottom"/>
    </xf>
    <xf borderId="1" fillId="3" fontId="1" numFmtId="0" xfId="0" applyAlignment="1" applyBorder="1" applyFont="1">
      <alignment readingOrder="0" vertical="bottom"/>
    </xf>
    <xf borderId="1" fillId="3" fontId="2" numFmtId="164" xfId="0" applyAlignment="1" applyBorder="1" applyFont="1" applyNumberFormat="1">
      <alignment horizontal="right" vertical="bottom"/>
    </xf>
    <xf borderId="1" fillId="4" fontId="5" numFmtId="0" xfId="0" applyAlignment="1" applyBorder="1" applyFont="1">
      <alignment vertical="bottom"/>
    </xf>
    <xf borderId="1" fillId="4" fontId="5" numFmtId="164" xfId="0" applyAlignment="1" applyBorder="1" applyFont="1" applyNumberFormat="1">
      <alignment horizontal="right" vertical="bottom"/>
    </xf>
    <xf borderId="18" fillId="5" fontId="7" numFmtId="0" xfId="0" applyAlignment="1" applyBorder="1" applyFont="1">
      <alignment readingOrder="0"/>
    </xf>
    <xf borderId="18" fillId="5" fontId="11" numFmtId="164" xfId="0" applyBorder="1" applyFont="1" applyNumberFormat="1"/>
    <xf borderId="18" fillId="0" fontId="2" numFmtId="0" xfId="0" applyAlignment="1" applyBorder="1" applyFont="1">
      <alignment vertical="bottom"/>
    </xf>
    <xf borderId="18" fillId="0" fontId="2" numFmtId="9" xfId="0" applyAlignment="1" applyBorder="1" applyFont="1" applyNumberFormat="1">
      <alignment horizontal="right" vertical="bottom"/>
    </xf>
    <xf borderId="1" fillId="6" fontId="5" numFmtId="0" xfId="0" applyAlignment="1" applyBorder="1" applyFont="1">
      <alignment readingOrder="0" vertical="bottom"/>
    </xf>
    <xf borderId="1" fillId="6" fontId="5" numFmtId="167" xfId="0" applyAlignment="1" applyBorder="1" applyFont="1" applyNumberFormat="1">
      <alignment horizontal="right" vertical="bottom"/>
    </xf>
    <xf borderId="1" fillId="0" fontId="2" numFmtId="9" xfId="0" applyAlignment="1" applyBorder="1" applyFont="1" applyNumberFormat="1">
      <alignment horizontal="right" vertical="bottom"/>
    </xf>
    <xf borderId="0" fillId="0" fontId="1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3" fontId="1" numFmtId="0" xfId="0" applyAlignment="1" applyFont="1">
      <alignment readingOrder="0"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readingOrder="0" vertical="bottom"/>
    </xf>
    <xf borderId="0" fillId="0" fontId="10" numFmtId="3" xfId="0" applyFont="1" applyNumberFormat="1"/>
    <xf borderId="16" fillId="11" fontId="5" numFmtId="0" xfId="0" applyAlignment="1" applyBorder="1" applyFill="1" applyFont="1">
      <alignment readingOrder="0" vertical="bottom"/>
    </xf>
    <xf borderId="17" fillId="11" fontId="5" numFmtId="167" xfId="0" applyAlignment="1" applyBorder="1" applyFont="1" applyNumberFormat="1">
      <alignment vertical="bottom"/>
    </xf>
    <xf borderId="0" fillId="0" fontId="11" numFmtId="0" xfId="0" applyAlignment="1" applyFont="1">
      <alignment readingOrder="0"/>
    </xf>
    <xf borderId="0" fillId="0" fontId="11" numFmtId="167" xfId="0" applyFont="1" applyNumberFormat="1"/>
    <xf borderId="16" fillId="6" fontId="5" numFmtId="0" xfId="0" applyAlignment="1" applyBorder="1" applyFont="1">
      <alignment readingOrder="0" vertical="bottom"/>
    </xf>
    <xf borderId="17" fillId="6" fontId="5" numFmtId="167" xfId="0" applyAlignment="1" applyBorder="1" applyFont="1" applyNumberFormat="1">
      <alignment vertical="bottom"/>
    </xf>
    <xf borderId="0" fillId="6" fontId="7" numFmtId="0" xfId="0" applyAlignment="1" applyFont="1">
      <alignment readingOrder="0"/>
    </xf>
    <xf borderId="0" fillId="6" fontId="7" numFmtId="164" xfId="0" applyFont="1" applyNumberFormat="1"/>
    <xf borderId="0" fillId="0" fontId="7" numFmtId="164" xfId="0" applyFont="1" applyNumberFormat="1"/>
    <xf borderId="1" fillId="9" fontId="2" numFmtId="0" xfId="0" applyAlignment="1" applyBorder="1" applyFont="1">
      <alignment readingOrder="0" vertical="bottom"/>
    </xf>
    <xf borderId="1" fillId="9" fontId="2" numFmtId="3" xfId="0" applyAlignment="1" applyBorder="1" applyFont="1" applyNumberFormat="1">
      <alignment horizontal="right" readingOrder="0" vertical="bottom"/>
    </xf>
    <xf borderId="1" fillId="0" fontId="2" numFmtId="165" xfId="0" applyAlignment="1" applyBorder="1" applyFont="1" applyNumberFormat="1">
      <alignment horizontal="right" readingOrder="0" vertical="bottom"/>
    </xf>
    <xf borderId="1" fillId="0" fontId="2" numFmtId="166" xfId="0" applyAlignment="1" applyBorder="1" applyFont="1" applyNumberFormat="1">
      <alignment horizontal="right" readingOrder="0" vertical="bottom"/>
    </xf>
    <xf borderId="1" fillId="4" fontId="5" numFmtId="167" xfId="0" applyAlignment="1" applyBorder="1" applyFont="1" applyNumberFormat="1">
      <alignment horizontal="right" readingOrder="0" vertical="bottom"/>
    </xf>
    <xf borderId="0" fillId="6" fontId="6" numFmtId="0" xfId="0" applyAlignment="1" applyFont="1">
      <alignment readingOrder="0"/>
    </xf>
    <xf borderId="0" fillId="6" fontId="6" numFmtId="167" xfId="0" applyFont="1" applyNumberFormat="1"/>
    <xf borderId="0" fillId="12" fontId="6" numFmtId="0" xfId="0" applyAlignment="1" applyFill="1" applyFont="1">
      <alignment readingOrder="0"/>
    </xf>
    <xf borderId="0" fillId="12" fontId="6" numFmtId="9" xfId="0" applyFont="1" applyNumberFormat="1"/>
    <xf borderId="16" fillId="13" fontId="5" numFmtId="0" xfId="0" applyAlignment="1" applyBorder="1" applyFill="1" applyFont="1">
      <alignment vertical="bottom"/>
    </xf>
    <xf borderId="17" fillId="13" fontId="5" numFmtId="3" xfId="0" applyAlignment="1" applyBorder="1" applyFont="1" applyNumberFormat="1">
      <alignment horizontal="right" vertical="bottom"/>
    </xf>
    <xf borderId="0" fillId="4" fontId="7" numFmtId="0" xfId="0" applyAlignment="1" applyFont="1">
      <alignment readingOrder="0"/>
    </xf>
    <xf borderId="0" fillId="4" fontId="7" numFmtId="167" xfId="0" applyFont="1" applyNumberFormat="1"/>
    <xf borderId="0" fillId="0" fontId="2" numFmtId="164" xfId="0" applyFont="1" applyNumberFormat="1"/>
    <xf borderId="0" fillId="0" fontId="2" numFmtId="164" xfId="0" applyAlignment="1" applyFont="1" applyNumberFormat="1">
      <alignment readingOrder="0"/>
    </xf>
    <xf borderId="3" fillId="14" fontId="5" numFmtId="0" xfId="0" applyAlignment="1" applyBorder="1" applyFill="1" applyFont="1">
      <alignment readingOrder="0"/>
    </xf>
    <xf borderId="4" fillId="14" fontId="5" numFmtId="164" xfId="0" applyBorder="1" applyFont="1" applyNumberFormat="1"/>
    <xf borderId="5" fillId="14" fontId="5" numFmtId="164" xfId="0" applyBorder="1" applyFont="1" applyNumberFormat="1"/>
    <xf borderId="6" fillId="14" fontId="5" numFmtId="0" xfId="0" applyAlignment="1" applyBorder="1" applyFont="1">
      <alignment readingOrder="0"/>
    </xf>
    <xf borderId="7" fillId="14" fontId="5" numFmtId="164" xfId="0" applyBorder="1" applyFont="1" applyNumberFormat="1"/>
    <xf borderId="0" fillId="0" fontId="2" numFmtId="167" xfId="0" applyAlignment="1" applyFont="1" applyNumberFormat="1">
      <alignment readingOrder="0"/>
    </xf>
    <xf borderId="0" fillId="6" fontId="5" numFmtId="0" xfId="0" applyAlignment="1" applyFont="1">
      <alignment readingOrder="0"/>
    </xf>
    <xf borderId="0" fillId="6" fontId="5" numFmtId="167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7" xfId="0" applyFont="1" applyNumberFormat="1"/>
    <xf borderId="0" fillId="3" fontId="10" numFmtId="0" xfId="0" applyFont="1"/>
    <xf borderId="0" fillId="0" fontId="6" numFmtId="167" xfId="0" applyFont="1" applyNumberFormat="1"/>
    <xf borderId="0" fillId="0" fontId="10" numFmtId="167" xfId="0" applyFont="1" applyNumberFormat="1"/>
    <xf borderId="0" fillId="0" fontId="2" numFmtId="0" xfId="0" applyAlignment="1" applyFont="1">
      <alignment readingOrder="0"/>
    </xf>
    <xf borderId="0" fillId="7" fontId="5" numFmtId="0" xfId="0" applyAlignment="1" applyFont="1">
      <alignment readingOrder="0"/>
    </xf>
    <xf borderId="0" fillId="7" fontId="2" numFmtId="167" xfId="0" applyFont="1" applyNumberFormat="1"/>
    <xf borderId="0" fillId="4" fontId="1" numFmtId="0" xfId="0" applyAlignment="1" applyFont="1">
      <alignment readingOrder="0"/>
    </xf>
    <xf borderId="0" fillId="4" fontId="2" numFmtId="167" xfId="0" applyFont="1" applyNumberFormat="1"/>
    <xf borderId="0" fillId="0" fontId="2" numFmtId="167" xfId="0" applyAlignment="1" applyFont="1" applyNumberFormat="1">
      <alignment horizontal="right" vertical="bottom"/>
    </xf>
    <xf borderId="0" fillId="0" fontId="9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6" fontId="1" numFmtId="0" xfId="0" applyAlignment="1" applyFont="1">
      <alignment readingOrder="0"/>
    </xf>
    <xf borderId="0" fillId="6" fontId="5" numFmtId="167" xfId="0" applyFont="1" applyNumberFormat="1"/>
    <xf borderId="0" fillId="6" fontId="11" numFmtId="0" xfId="0" applyAlignment="1" applyFont="1">
      <alignment readingOrder="0"/>
    </xf>
    <xf borderId="0" fillId="6" fontId="11" numFmtId="167" xfId="0" applyFont="1" applyNumberFormat="1"/>
    <xf borderId="0" fillId="7" fontId="5" numFmtId="164" xfId="0" applyFont="1" applyNumberFormat="1"/>
    <xf borderId="0" fillId="6" fontId="2" numFmtId="167" xfId="0" applyFont="1" applyNumberFormat="1"/>
    <xf borderId="0" fillId="8" fontId="1" numFmtId="0" xfId="0" applyAlignment="1" applyFont="1">
      <alignment readingOrder="0"/>
    </xf>
    <xf borderId="0" fillId="8" fontId="5" numFmtId="167" xfId="0" applyFont="1" applyNumberFormat="1"/>
    <xf borderId="0" fillId="0" fontId="2" numFmtId="9" xfId="0" applyFont="1" applyNumberFormat="1"/>
    <xf borderId="18" fillId="5" fontId="11" numFmtId="0" xfId="0" applyAlignment="1" applyBorder="1" applyFont="1">
      <alignment readingOrder="0"/>
    </xf>
    <xf borderId="0" fillId="6" fontId="7" numFmtId="9" xfId="0" applyFont="1" applyNumberFormat="1"/>
    <xf borderId="1" fillId="0" fontId="5" numFmtId="0" xfId="0" applyAlignment="1" applyBorder="1" applyFont="1">
      <alignment readingOrder="0" vertical="bottom"/>
    </xf>
    <xf borderId="1" fillId="0" fontId="5" numFmtId="3" xfId="0" applyAlignment="1" applyBorder="1" applyFont="1" applyNumberFormat="1">
      <alignment horizontal="right" readingOrder="0" vertical="bottom"/>
    </xf>
    <xf borderId="1" fillId="0" fontId="5" numFmtId="3" xfId="0" applyAlignment="1" applyBorder="1" applyFont="1" applyNumberFormat="1">
      <alignment horizontal="right" vertical="bottom"/>
    </xf>
    <xf borderId="0" fillId="0" fontId="6" numFmtId="3" xfId="0" applyFont="1" applyNumberFormat="1"/>
    <xf borderId="16" fillId="6" fontId="5" numFmtId="0" xfId="0" applyAlignment="1" applyBorder="1" applyFont="1">
      <alignment vertical="bottom"/>
    </xf>
    <xf borderId="17" fillId="6" fontId="5" numFmtId="3" xfId="0" applyAlignment="1" applyBorder="1" applyFont="1" applyNumberFormat="1">
      <alignment horizontal="right" vertical="bottom"/>
    </xf>
    <xf borderId="0" fillId="5" fontId="5" numFmtId="0" xfId="0" applyAlignment="1" applyFont="1">
      <alignment readingOrder="0"/>
    </xf>
    <xf borderId="0" fillId="5" fontId="5" numFmtId="167" xfId="0" applyFont="1" applyNumberFormat="1"/>
    <xf borderId="0" fillId="4" fontId="5" numFmtId="167" xfId="0" applyFont="1" applyNumberFormat="1"/>
    <xf borderId="3" fillId="15" fontId="3" numFmtId="0" xfId="0" applyAlignment="1" applyBorder="1" applyFill="1" applyFont="1">
      <alignment horizontal="center" readingOrder="0"/>
    </xf>
    <xf borderId="5" fillId="0" fontId="12" numFmtId="0" xfId="0" applyBorder="1" applyFont="1"/>
    <xf borderId="19" fillId="0" fontId="2" numFmtId="0" xfId="0" applyAlignment="1" applyBorder="1" applyFont="1">
      <alignment readingOrder="0"/>
    </xf>
    <xf borderId="12" fillId="0" fontId="2" numFmtId="167" xfId="0" applyAlignment="1" applyBorder="1" applyFont="1" applyNumberFormat="1">
      <alignment readingOrder="0"/>
    </xf>
    <xf borderId="19" fillId="0" fontId="1" numFmtId="0" xfId="0" applyAlignment="1" applyBorder="1" applyFont="1">
      <alignment readingOrder="0"/>
    </xf>
    <xf borderId="12" fillId="0" fontId="2" numFmtId="168" xfId="0" applyAlignment="1" applyBorder="1" applyFont="1" applyNumberFormat="1">
      <alignment readingOrder="0"/>
    </xf>
    <xf borderId="12" fillId="0" fontId="2" numFmtId="9" xfId="0" applyAlignment="1" applyBorder="1" applyFont="1" applyNumberFormat="1">
      <alignment readingOrder="0"/>
    </xf>
    <xf borderId="12" fillId="0" fontId="2" numFmtId="166" xfId="0" applyAlignment="1" applyBorder="1" applyFont="1" applyNumberFormat="1">
      <alignment readingOrder="0"/>
    </xf>
    <xf borderId="20" fillId="0" fontId="2" numFmtId="0" xfId="0" applyAlignment="1" applyBorder="1" applyFont="1">
      <alignment readingOrder="0"/>
    </xf>
    <xf borderId="21" fillId="0" fontId="2" numFmtId="9" xfId="0" applyAlignment="1" applyBorder="1" applyFont="1" applyNumberFormat="1">
      <alignment readingOrder="0"/>
    </xf>
    <xf borderId="0" fillId="0" fontId="3" numFmtId="0" xfId="0" applyAlignment="1" applyFont="1">
      <alignment horizontal="center" readingOrder="0"/>
    </xf>
    <xf borderId="12" fillId="0" fontId="2" numFmtId="3" xfId="0" applyAlignment="1" applyBorder="1" applyFont="1" applyNumberFormat="1">
      <alignment readingOrder="0"/>
    </xf>
    <xf borderId="0" fillId="0" fontId="5" numFmtId="0" xfId="0" applyAlignment="1" applyFont="1">
      <alignment horizontal="center" readingOrder="0"/>
    </xf>
    <xf borderId="22" fillId="15" fontId="3" numFmtId="0" xfId="0" applyAlignment="1" applyBorder="1" applyFont="1">
      <alignment horizontal="center" readingOrder="0"/>
    </xf>
    <xf borderId="23" fillId="0" fontId="12" numFmtId="0" xfId="0" applyBorder="1" applyFont="1"/>
    <xf borderId="12" fillId="0" fontId="2" numFmtId="0" xfId="0" applyAlignment="1" applyBorder="1" applyFont="1">
      <alignment readingOrder="0"/>
    </xf>
    <xf borderId="12" fillId="0" fontId="2" numFmtId="10" xfId="0" applyAlignment="1" applyBorder="1" applyFont="1" applyNumberFormat="1">
      <alignment readingOrder="0"/>
    </xf>
    <xf borderId="19" fillId="0" fontId="2" numFmtId="0" xfId="0" applyAlignment="1" applyBorder="1" applyFont="1">
      <alignment readingOrder="0"/>
    </xf>
    <xf borderId="0" fillId="0" fontId="10" numFmtId="0" xfId="0" applyAlignment="1" applyFont="1">
      <alignment readingOrder="0"/>
    </xf>
    <xf borderId="20" fillId="0" fontId="10" numFmtId="0" xfId="0" applyAlignment="1" applyBorder="1" applyFont="1">
      <alignment readingOrder="0"/>
    </xf>
    <xf borderId="21" fillId="0" fontId="10" numFmtId="9" xfId="0" applyAlignment="1" applyBorder="1" applyFont="1" applyNumberFormat="1">
      <alignment readingOrder="0"/>
    </xf>
    <xf borderId="0" fillId="15" fontId="7" numFmtId="0" xfId="0" applyAlignment="1" applyFont="1">
      <alignment horizontal="center" readingOrder="0"/>
    </xf>
    <xf borderId="19" fillId="0" fontId="10" numFmtId="0" xfId="0" applyAlignment="1" applyBorder="1" applyFont="1">
      <alignment readingOrder="0"/>
    </xf>
    <xf borderId="12" fillId="0" fontId="10" numFmtId="167" xfId="0" applyAlignment="1" applyBorder="1" applyFont="1" applyNumberFormat="1">
      <alignment readingOrder="0"/>
    </xf>
    <xf borderId="12" fillId="0" fontId="10" numFmtId="9" xfId="0" applyAlignment="1" applyBorder="1" applyFont="1" applyNumberFormat="1">
      <alignment readingOrder="0"/>
    </xf>
    <xf borderId="0" fillId="0" fontId="6" numFmtId="9" xfId="0" applyAlignment="1" applyFont="1" applyNumberFormat="1">
      <alignment readingOrder="0"/>
    </xf>
    <xf borderId="0" fillId="0" fontId="6" numFmtId="168" xfId="0" applyAlignment="1" applyFont="1" applyNumberFormat="1">
      <alignment readingOrder="0"/>
    </xf>
    <xf borderId="0" fillId="0" fontId="13" numFmtId="0" xfId="0" applyAlignment="1" applyFont="1">
      <alignment readingOrder="0"/>
    </xf>
    <xf borderId="0" fillId="0" fontId="13" numFmtId="9" xfId="0" applyFont="1" applyNumberFormat="1"/>
    <xf borderId="0" fillId="0" fontId="6" numFmtId="9" xfId="0" applyFont="1" applyNumberFormat="1"/>
    <xf borderId="0" fillId="0" fontId="14" numFmtId="0" xfId="0" applyAlignment="1" applyFont="1">
      <alignment vertical="bottom"/>
    </xf>
    <xf borderId="0" fillId="0" fontId="9" numFmtId="0" xfId="0" applyAlignment="1" applyFont="1">
      <alignment horizontal="center" vertical="bottom"/>
    </xf>
    <xf borderId="0" fillId="0" fontId="9" numFmtId="0" xfId="0" applyAlignment="1" applyFont="1">
      <alignment horizontal="right" vertical="bottom"/>
    </xf>
    <xf borderId="1" fillId="0" fontId="9" numFmtId="0" xfId="0" applyAlignment="1" applyBorder="1" applyFont="1">
      <alignment horizontal="center" readingOrder="0" vertical="bottom"/>
    </xf>
    <xf borderId="24" fillId="0" fontId="9" numFmtId="0" xfId="0" applyAlignment="1" applyBorder="1" applyFont="1">
      <alignment vertical="bottom"/>
    </xf>
    <xf borderId="24" fillId="0" fontId="15" numFmtId="9" xfId="0" applyAlignment="1" applyBorder="1" applyFont="1" applyNumberFormat="1">
      <alignment horizontal="center" vertical="bottom"/>
    </xf>
    <xf borderId="1" fillId="0" fontId="14" numFmtId="0" xfId="0" applyAlignment="1" applyBorder="1" applyFont="1">
      <alignment horizontal="center" vertical="bottom"/>
    </xf>
    <xf borderId="0" fillId="0" fontId="9" numFmtId="167" xfId="0" applyAlignment="1" applyFont="1" applyNumberFormat="1">
      <alignment horizontal="center" vertical="bottom"/>
    </xf>
    <xf borderId="1" fillId="0" fontId="9" numFmtId="169" xfId="0" applyAlignment="1" applyBorder="1" applyFont="1" applyNumberFormat="1">
      <alignment horizontal="center" readingOrder="0" vertical="bottom"/>
    </xf>
    <xf borderId="1" fillId="16" fontId="9" numFmtId="169" xfId="0" applyAlignment="1" applyBorder="1" applyFill="1" applyFont="1" applyNumberFormat="1">
      <alignment horizontal="center" readingOrder="0" vertical="bottom"/>
    </xf>
    <xf borderId="25" fillId="0" fontId="9" numFmtId="0" xfId="0" applyAlignment="1" applyBorder="1" applyFont="1">
      <alignment horizontal="center" vertical="bottom"/>
    </xf>
    <xf borderId="18" fillId="0" fontId="12" numFmtId="0" xfId="0" applyBorder="1" applyFont="1"/>
    <xf borderId="26" fillId="0" fontId="12" numFmtId="0" xfId="0" applyBorder="1" applyFont="1"/>
    <xf borderId="1" fillId="0" fontId="9" numFmtId="169" xfId="0" applyAlignment="1" applyBorder="1" applyFont="1" applyNumberFormat="1">
      <alignment horizontal="center" vertical="bottom"/>
    </xf>
    <xf borderId="1" fillId="16" fontId="9" numFmtId="167" xfId="0" applyAlignment="1" applyBorder="1" applyFont="1" applyNumberFormat="1">
      <alignment horizontal="center" vertical="bottom"/>
    </xf>
    <xf borderId="1" fillId="0" fontId="9" numFmtId="167" xfId="0" applyAlignment="1" applyBorder="1" applyFont="1" applyNumberFormat="1">
      <alignment horizontal="center" vertical="bottom"/>
    </xf>
    <xf borderId="1" fillId="16" fontId="9" numFmtId="169" xfId="0" applyAlignment="1" applyBorder="1" applyFont="1" applyNumberFormat="1">
      <alignment horizontal="center" vertical="bottom"/>
    </xf>
  </cellXfs>
  <cellStyles count="1">
    <cellStyle xfId="0" name="Normal" builtinId="0"/>
  </cellStyles>
  <dxfs count="1">
    <dxf>
      <font/>
      <fill>
        <patternFill patternType="solid">
          <fgColor rgb="FF000000"/>
          <bgColor rgb="FF00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35FC1"/>
      </a:accent1>
      <a:accent2>
        <a:srgbClr val="B7E1CD"/>
      </a:accent2>
      <a:accent3>
        <a:srgbClr val="57BB8A"/>
      </a:accent3>
      <a:accent4>
        <a:srgbClr val="E06666"/>
      </a:accent4>
      <a:accent5>
        <a:srgbClr val="93C47D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0"/>
    <col customWidth="1" min="2" max="2" width="20.63"/>
    <col customWidth="1" min="4" max="6" width="12.88"/>
    <col customWidth="1" min="7" max="7" width="13.75"/>
    <col customWidth="1" min="8" max="13" width="14.25"/>
  </cols>
  <sheetData>
    <row r="1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B2" s="3" t="s">
        <v>1</v>
      </c>
      <c r="C2" s="4" t="str">
        <f>'Virtual Schools'!C2</f>
        <v>SY 2026</v>
      </c>
      <c r="D2" s="4" t="str">
        <f>'Virtual Schools'!D2</f>
        <v>SY 2027</v>
      </c>
      <c r="E2" s="4" t="str">
        <f>'Virtual Schools'!E2</f>
        <v>SY 2028</v>
      </c>
      <c r="F2" s="4" t="str">
        <f>'Virtual Schools'!F2</f>
        <v>SY 2029</v>
      </c>
      <c r="G2" s="4" t="str">
        <f>'Virtual Schools'!G2</f>
        <v>SY 2030</v>
      </c>
      <c r="H2" s="4" t="str">
        <f>'Virtual Schools'!H2</f>
        <v>SY 2031</v>
      </c>
      <c r="I2" s="4" t="str">
        <f>'Virtual Schools'!I2</f>
        <v>SY 2032</v>
      </c>
      <c r="J2" s="4" t="str">
        <f>'Virtual Schools'!J2</f>
        <v>SY 2033</v>
      </c>
      <c r="K2" s="4" t="str">
        <f>'Virtual Schools'!K2</f>
        <v>SY 2034</v>
      </c>
      <c r="L2" s="4" t="str">
        <f>'Virtual Schools'!L2</f>
        <v>SY 2035</v>
      </c>
      <c r="M2" s="4" t="str">
        <f>'Virtual Schools'!M2</f>
        <v>SY 2036</v>
      </c>
    </row>
    <row r="3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>
      <c r="B4" s="7" t="s">
        <v>3</v>
      </c>
      <c r="C4" s="8">
        <f>'Virtual Schools'!C7</f>
        <v>104740000</v>
      </c>
      <c r="D4" s="8">
        <f>'Virtual Schools'!D7</f>
        <v>209480000</v>
      </c>
      <c r="E4" s="8">
        <f>'Virtual Schools'!E7</f>
        <v>314220000</v>
      </c>
      <c r="F4" s="8">
        <f>'Virtual Schools'!F7</f>
        <v>418960000</v>
      </c>
      <c r="G4" s="8">
        <f>'Virtual Schools'!G7</f>
        <v>523700000</v>
      </c>
      <c r="H4" s="8">
        <f>'Virtual Schools'!H7</f>
        <v>628440000</v>
      </c>
      <c r="I4" s="8">
        <f>'Virtual Schools'!I7</f>
        <v>733180000</v>
      </c>
      <c r="J4" s="8">
        <f>'Virtual Schools'!J7</f>
        <v>837920000</v>
      </c>
      <c r="K4" s="8">
        <f>'Virtual Schools'!K7</f>
        <v>942660000</v>
      </c>
      <c r="L4" s="8">
        <f>'Virtual Schools'!L7</f>
        <v>1047400000</v>
      </c>
      <c r="M4" s="8">
        <f>'Virtual Schools'!M7</f>
        <v>1047400000</v>
      </c>
    </row>
    <row r="5">
      <c r="B5" s="9" t="s">
        <v>4</v>
      </c>
      <c r="C5" s="10">
        <f>'Virtual Schools'!C14</f>
        <v>10000</v>
      </c>
      <c r="D5" s="10">
        <f>'Virtual Schools'!D14</f>
        <v>20000</v>
      </c>
      <c r="E5" s="10">
        <f>'Virtual Schools'!E14</f>
        <v>30000</v>
      </c>
      <c r="F5" s="10">
        <f>'Virtual Schools'!F14</f>
        <v>40000</v>
      </c>
      <c r="G5" s="10">
        <f>'Virtual Schools'!G14</f>
        <v>50000</v>
      </c>
      <c r="H5" s="10">
        <f>'Virtual Schools'!H14</f>
        <v>60000</v>
      </c>
      <c r="I5" s="10">
        <f>'Virtual Schools'!I14</f>
        <v>70000</v>
      </c>
      <c r="J5" s="10">
        <f>'Virtual Schools'!J14</f>
        <v>80000</v>
      </c>
      <c r="K5" s="10">
        <f>'Virtual Schools'!K14</f>
        <v>90000</v>
      </c>
      <c r="L5" s="10">
        <f>'Virtual Schools'!L14</f>
        <v>100000</v>
      </c>
      <c r="M5" s="10">
        <f>'Virtual Schools'!M14</f>
        <v>100000</v>
      </c>
    </row>
    <row r="6">
      <c r="B6" s="7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</row>
    <row r="7">
      <c r="B7" s="7" t="s">
        <v>5</v>
      </c>
      <c r="C7" s="8">
        <f>Microschools!C33</f>
        <v>5925000</v>
      </c>
      <c r="D7" s="8">
        <f>Microschools!D33</f>
        <v>18000000</v>
      </c>
      <c r="E7" s="8">
        <f>Microschools!E33</f>
        <v>54000000</v>
      </c>
      <c r="F7" s="8">
        <f>Microschools!F33</f>
        <v>162000000</v>
      </c>
      <c r="G7" s="8">
        <f>Microschools!G33</f>
        <v>486000000</v>
      </c>
      <c r="H7" s="8">
        <f>Microschools!H33</f>
        <v>1232250000</v>
      </c>
      <c r="I7" s="8">
        <f>Microschools!I33</f>
        <v>1500000000</v>
      </c>
      <c r="J7" s="8">
        <f>Microschools!J33</f>
        <v>1500000000</v>
      </c>
      <c r="K7" s="8">
        <f>Microschools!K33</f>
        <v>1500000000</v>
      </c>
      <c r="L7" s="8">
        <f>Microschools!L33</f>
        <v>1500000000</v>
      </c>
      <c r="M7" s="8">
        <f>Microschools!M33</f>
        <v>1500000000</v>
      </c>
    </row>
    <row r="8">
      <c r="B8" s="9" t="s">
        <v>4</v>
      </c>
      <c r="C8" s="10">
        <f>Microschools!C31</f>
        <v>395</v>
      </c>
      <c r="D8" s="10">
        <f>Microschools!D31</f>
        <v>1200</v>
      </c>
      <c r="E8" s="10">
        <f>Microschools!E31</f>
        <v>3600</v>
      </c>
      <c r="F8" s="10">
        <f>Microschools!F31</f>
        <v>10800</v>
      </c>
      <c r="G8" s="10">
        <f>Microschools!G31</f>
        <v>32400</v>
      </c>
      <c r="H8" s="10">
        <f>Microschools!H31</f>
        <v>82150</v>
      </c>
      <c r="I8" s="10">
        <f>Microschools!I31</f>
        <v>100000</v>
      </c>
      <c r="J8" s="10">
        <f>Microschools!J31</f>
        <v>100000</v>
      </c>
      <c r="K8" s="10">
        <f>Microschools!K31</f>
        <v>100000</v>
      </c>
      <c r="L8" s="10">
        <f>Microschools!L31</f>
        <v>100000</v>
      </c>
      <c r="M8" s="10">
        <f>Microschools!M31</f>
        <v>100000</v>
      </c>
    </row>
    <row r="9">
      <c r="B9" s="7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</row>
    <row r="10">
      <c r="B10" s="7" t="s">
        <v>6</v>
      </c>
      <c r="C10" s="8">
        <f>'Mid-Sized Schools'!C33</f>
        <v>1000000</v>
      </c>
      <c r="D10" s="8">
        <f>'Mid-Sized Schools'!D33</f>
        <v>11550000</v>
      </c>
      <c r="E10" s="8">
        <f>'Mid-Sized Schools'!E33</f>
        <v>69650000</v>
      </c>
      <c r="F10" s="8">
        <f>'Mid-Sized Schools'!F33</f>
        <v>186550000</v>
      </c>
      <c r="G10" s="8">
        <f>'Mid-Sized Schools'!G33</f>
        <v>465500000</v>
      </c>
      <c r="H10" s="8">
        <f>'Mid-Sized Schools'!H33</f>
        <v>990500000</v>
      </c>
      <c r="I10" s="8">
        <f>'Mid-Sized Schools'!I33</f>
        <v>1750000000</v>
      </c>
      <c r="J10" s="8">
        <f>'Mid-Sized Schools'!J33</f>
        <v>2625000000</v>
      </c>
      <c r="K10" s="8">
        <f>'Mid-Sized Schools'!K33</f>
        <v>3500000000</v>
      </c>
      <c r="L10" s="8">
        <f>'Mid-Sized Schools'!L33</f>
        <v>4952500000</v>
      </c>
      <c r="M10" s="8">
        <f>'Mid-Sized Schools'!M33</f>
        <v>7433125000</v>
      </c>
    </row>
    <row r="11">
      <c r="B11" s="9" t="s">
        <v>4</v>
      </c>
      <c r="C11" s="10">
        <f>'Mid-Sized Schools'!C31</f>
        <v>40</v>
      </c>
      <c r="D11" s="10">
        <f>'Mid-Sized Schools'!D31</f>
        <v>462</v>
      </c>
      <c r="E11" s="10">
        <f>'Mid-Sized Schools'!E31</f>
        <v>2786</v>
      </c>
      <c r="F11" s="10">
        <f>'Mid-Sized Schools'!F31</f>
        <v>7462</v>
      </c>
      <c r="G11" s="10">
        <f>'Mid-Sized Schools'!G31</f>
        <v>18620</v>
      </c>
      <c r="H11" s="10">
        <f>'Mid-Sized Schools'!H31</f>
        <v>39620</v>
      </c>
      <c r="I11" s="10">
        <f>'Mid-Sized Schools'!I31</f>
        <v>70000</v>
      </c>
      <c r="J11" s="10">
        <f>'Mid-Sized Schools'!J31</f>
        <v>105000</v>
      </c>
      <c r="K11" s="10">
        <f>'Mid-Sized Schools'!K31</f>
        <v>140000</v>
      </c>
      <c r="L11" s="10">
        <f>'Mid-Sized Schools'!L31</f>
        <v>198100</v>
      </c>
      <c r="M11" s="10">
        <f>'Mid-Sized Schools'!M31</f>
        <v>297325</v>
      </c>
    </row>
    <row r="12">
      <c r="B12" s="7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</row>
    <row r="13">
      <c r="B13" s="7" t="s">
        <v>7</v>
      </c>
      <c r="C13" s="8">
        <f>'Flagship Schools'!C34</f>
        <v>0</v>
      </c>
      <c r="D13" s="8">
        <f>'Flagship Schools'!D34</f>
        <v>0</v>
      </c>
      <c r="E13" s="8">
        <f>'Flagship Schools'!E34</f>
        <v>0</v>
      </c>
      <c r="F13" s="8">
        <f>'Flagship Schools'!F34</f>
        <v>0</v>
      </c>
      <c r="G13" s="8">
        <f>'Flagship Schools'!G34</f>
        <v>0</v>
      </c>
      <c r="H13" s="8">
        <f>'Flagship Schools'!H34</f>
        <v>24750000</v>
      </c>
      <c r="I13" s="8">
        <f>'Flagship Schools'!I34</f>
        <v>50250000</v>
      </c>
      <c r="J13" s="8">
        <f>'Flagship Schools'!J34</f>
        <v>99750000</v>
      </c>
      <c r="K13" s="8">
        <f>'Flagship Schools'!K34</f>
        <v>125250000</v>
      </c>
      <c r="L13" s="8">
        <f>'Flagship Schools'!L34</f>
        <v>174750000</v>
      </c>
      <c r="M13" s="8">
        <f>'Flagship Schools'!M34</f>
        <v>200250000</v>
      </c>
    </row>
    <row r="14">
      <c r="B14" s="9" t="s">
        <v>4</v>
      </c>
      <c r="C14" s="12">
        <f>'Flagship Schools'!C32</f>
        <v>0</v>
      </c>
      <c r="D14" s="12">
        <f>'Flagship Schools'!D32</f>
        <v>0</v>
      </c>
      <c r="E14" s="12">
        <f>'Flagship Schools'!E32</f>
        <v>0</v>
      </c>
      <c r="F14" s="12">
        <f>'Flagship Schools'!F32</f>
        <v>0</v>
      </c>
      <c r="G14" s="12">
        <f>'Flagship Schools'!G32</f>
        <v>0</v>
      </c>
      <c r="H14" s="12">
        <f>'Flagship Schools'!H32</f>
        <v>495</v>
      </c>
      <c r="I14" s="12">
        <f>'Flagship Schools'!I32</f>
        <v>1005</v>
      </c>
      <c r="J14" s="12">
        <f>'Flagship Schools'!J32</f>
        <v>1995</v>
      </c>
      <c r="K14" s="12">
        <f>'Flagship Schools'!K32</f>
        <v>2505</v>
      </c>
      <c r="L14" s="12">
        <f>'Flagship Schools'!L32</f>
        <v>3495</v>
      </c>
      <c r="M14" s="12">
        <f>'Flagship Schools'!M32</f>
        <v>4005</v>
      </c>
    </row>
    <row r="15"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</row>
    <row r="16">
      <c r="B16" s="14" t="s">
        <v>8</v>
      </c>
      <c r="C16" s="15">
        <f t="shared" ref="C16:M16" si="1">C4+C7+C10+C13</f>
        <v>111665000</v>
      </c>
      <c r="D16" s="15">
        <f t="shared" si="1"/>
        <v>239030000</v>
      </c>
      <c r="E16" s="15">
        <f t="shared" si="1"/>
        <v>437870000</v>
      </c>
      <c r="F16" s="15">
        <f t="shared" si="1"/>
        <v>767510000</v>
      </c>
      <c r="G16" s="15">
        <f t="shared" si="1"/>
        <v>1475200000</v>
      </c>
      <c r="H16" s="15">
        <f t="shared" si="1"/>
        <v>2875940000</v>
      </c>
      <c r="I16" s="15">
        <f t="shared" si="1"/>
        <v>4033430000</v>
      </c>
      <c r="J16" s="15">
        <f t="shared" si="1"/>
        <v>5062670000</v>
      </c>
      <c r="K16" s="15">
        <f t="shared" si="1"/>
        <v>6067910000</v>
      </c>
      <c r="L16" s="15">
        <f t="shared" si="1"/>
        <v>7674650000</v>
      </c>
      <c r="M16" s="16">
        <f t="shared" si="1"/>
        <v>10180775000</v>
      </c>
    </row>
    <row r="17">
      <c r="B17" s="17" t="s">
        <v>9</v>
      </c>
      <c r="C17" s="18">
        <f t="shared" ref="C17:M17" si="2">C5+C8+C11+C14</f>
        <v>10435</v>
      </c>
      <c r="D17" s="18">
        <f t="shared" si="2"/>
        <v>21662</v>
      </c>
      <c r="E17" s="18">
        <f t="shared" si="2"/>
        <v>36386</v>
      </c>
      <c r="F17" s="18">
        <f t="shared" si="2"/>
        <v>58262</v>
      </c>
      <c r="G17" s="18">
        <f t="shared" si="2"/>
        <v>101020</v>
      </c>
      <c r="H17" s="18">
        <f t="shared" si="2"/>
        <v>182265</v>
      </c>
      <c r="I17" s="18">
        <f t="shared" si="2"/>
        <v>241005</v>
      </c>
      <c r="J17" s="18">
        <f t="shared" si="2"/>
        <v>286995</v>
      </c>
      <c r="K17" s="18">
        <f t="shared" si="2"/>
        <v>332505</v>
      </c>
      <c r="L17" s="18">
        <f t="shared" si="2"/>
        <v>401595</v>
      </c>
      <c r="M17" s="19">
        <f t="shared" si="2"/>
        <v>501330</v>
      </c>
    </row>
    <row r="18">
      <c r="B18" s="20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>
      <c r="B19" s="21" t="s">
        <v>10</v>
      </c>
      <c r="C19" s="22">
        <f>('Virtual Schools'!C21*'Virtual Schools'!C14)+(Microschools!C31*Microschools!C15)+('Mid-Sized Schools'!C13*'Mid-Sized Schools'!C31)+('Flagship Schools'!C13*'Flagship Schools'!C32)</f>
        <v>21385000</v>
      </c>
      <c r="D19" s="22">
        <f>('Virtual Schools'!D21*'Virtual Schools'!D14)+(Microschools!D31*Microschools!D15)+('Mid-Sized Schools'!D13*'Mid-Sized Schools'!D31)+('Flagship Schools'!D13*'Flagship Schools'!D32)</f>
        <v>45910000</v>
      </c>
      <c r="E19" s="22">
        <f>('Virtual Schools'!E21*'Virtual Schools'!E14)+(Microschools!E31*Microschools!E15)+('Mid-Sized Schools'!E13*'Mid-Sized Schools'!E31)+('Flagship Schools'!E13*'Flagship Schools'!E32)</f>
        <v>84730000</v>
      </c>
      <c r="F19" s="22">
        <f>('Virtual Schools'!F21*'Virtual Schools'!F14)+(Microschools!F31*Microschools!F15)+('Mid-Sized Schools'!F13*'Mid-Sized Schools'!F31)+('Flagship Schools'!F13*'Flagship Schools'!F32)</f>
        <v>149710000</v>
      </c>
      <c r="G19" s="22">
        <f>('Virtual Schools'!G21*'Virtual Schools'!G14)+(Microschools!G31*Microschools!G15)+('Mid-Sized Schools'!G13*'Mid-Sized Schools'!G31)+('Flagship Schools'!G13*'Flagship Schools'!G32)</f>
        <v>290300000</v>
      </c>
      <c r="H19" s="22">
        <f>('Virtual Schools'!H21*'Virtual Schools'!H14)+(Microschools!H31*Microschools!H15)+('Mid-Sized Schools'!H13*'Mid-Sized Schools'!H31)+('Flagship Schools'!H13*'Flagship Schools'!H32)</f>
        <v>569500000</v>
      </c>
      <c r="I19" s="22">
        <f>('Virtual Schools'!I21*'Virtual Schools'!I14)+(Microschools!I31*Microschools!I15)+('Mid-Sized Schools'!I13*'Mid-Sized Schools'!I31)+('Flagship Schools'!I13*'Flagship Schools'!I32)</f>
        <v>800050000</v>
      </c>
      <c r="J19" s="22">
        <f>('Virtual Schools'!J21*'Virtual Schools'!J14)+(Microschools!J31*Microschools!J15)+('Mid-Sized Schools'!J13*'Mid-Sized Schools'!J31)+('Flagship Schools'!J13*'Flagship Schools'!J32)</f>
        <v>1004950000</v>
      </c>
      <c r="K19" s="22">
        <f>('Virtual Schools'!K21*'Virtual Schools'!K14)+(Microschools!K31*Microschools!K15)+('Mid-Sized Schools'!K13*'Mid-Sized Schools'!K31)+('Flagship Schools'!K13*'Flagship Schools'!K32)</f>
        <v>1205050000</v>
      </c>
      <c r="L19" s="22">
        <f>('Virtual Schools'!L21*'Virtual Schools'!L14)+(Microschools!L31*Microschools!L15)+('Mid-Sized Schools'!L13*'Mid-Sized Schools'!L31)+('Flagship Schools'!L13*'Flagship Schools'!L32)</f>
        <v>1525450000</v>
      </c>
      <c r="M19" s="22">
        <f>('Virtual Schools'!M21*'Virtual Schools'!M14)+(Microschools!M31*Microschools!M15)+('Mid-Sized Schools'!M13*'Mid-Sized Schools'!M31)+('Flagship Schools'!M13*'Flagship Schools'!M32)</f>
        <v>2026675000</v>
      </c>
    </row>
    <row r="20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>
      <c r="B21" s="5" t="s">
        <v>11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</row>
    <row r="22">
      <c r="B22" s="7" t="s">
        <v>3</v>
      </c>
      <c r="C22" s="8">
        <f>'Virtual Schools'!C7-'Virtual Schools'!C23</f>
        <v>37240000</v>
      </c>
      <c r="D22" s="8">
        <f>'Virtual Schools'!D7-'Virtual Schools'!D23</f>
        <v>74480000</v>
      </c>
      <c r="E22" s="8">
        <f>'Virtual Schools'!E7-'Virtual Schools'!E23</f>
        <v>111720000</v>
      </c>
      <c r="F22" s="8">
        <f>'Virtual Schools'!F7-'Virtual Schools'!F23</f>
        <v>148960000</v>
      </c>
      <c r="G22" s="8">
        <f>'Virtual Schools'!G7-'Virtual Schools'!G23</f>
        <v>186200000</v>
      </c>
      <c r="H22" s="8">
        <f>'Virtual Schools'!H7-'Virtual Schools'!H23</f>
        <v>223440000</v>
      </c>
      <c r="I22" s="8">
        <f>'Virtual Schools'!I7-'Virtual Schools'!I23</f>
        <v>260680000</v>
      </c>
      <c r="J22" s="8">
        <f>'Virtual Schools'!J7-'Virtual Schools'!J23</f>
        <v>297920000</v>
      </c>
      <c r="K22" s="8">
        <f>'Virtual Schools'!K7-'Virtual Schools'!K23</f>
        <v>335160000</v>
      </c>
      <c r="L22" s="8">
        <f>'Virtual Schools'!L7-'Virtual Schools'!L23</f>
        <v>372400000</v>
      </c>
      <c r="M22" s="8">
        <f>'Virtual Schools'!M7-'Virtual Schools'!M23</f>
        <v>372400000</v>
      </c>
    </row>
    <row r="23">
      <c r="B23" s="7" t="s">
        <v>5</v>
      </c>
      <c r="C23" s="8">
        <f>Microschools!C35</f>
        <v>1382500</v>
      </c>
      <c r="D23" s="8">
        <f>Microschools!D35</f>
        <v>4200000</v>
      </c>
      <c r="E23" s="8">
        <f>Microschools!E35</f>
        <v>12600000</v>
      </c>
      <c r="F23" s="8">
        <f>Microschools!F35</f>
        <v>37800000</v>
      </c>
      <c r="G23" s="8">
        <f>Microschools!G35</f>
        <v>113400000</v>
      </c>
      <c r="H23" s="8">
        <f>Microschools!H35</f>
        <v>287525000</v>
      </c>
      <c r="I23" s="8">
        <f>Microschools!I35</f>
        <v>350000000</v>
      </c>
      <c r="J23" s="8">
        <f>Microschools!J35</f>
        <v>350000000</v>
      </c>
      <c r="K23" s="8">
        <f>Microschools!K35</f>
        <v>350000000</v>
      </c>
      <c r="L23" s="8">
        <f>Microschools!L35</f>
        <v>350000000</v>
      </c>
      <c r="M23" s="8">
        <f>Microschools!M35</f>
        <v>350000000</v>
      </c>
    </row>
    <row r="24">
      <c r="B24" s="7" t="s">
        <v>6</v>
      </c>
      <c r="C24" s="8">
        <f>'Mid-Sized Schools'!C67</f>
        <v>-1621036</v>
      </c>
      <c r="D24" s="8">
        <f>'Mid-Sized Schools'!D67</f>
        <v>-5415095</v>
      </c>
      <c r="E24" s="8">
        <f>'Mid-Sized Schools'!E67</f>
        <v>8287895</v>
      </c>
      <c r="F24" s="8">
        <f>'Mid-Sized Schools'!F67</f>
        <v>25822685</v>
      </c>
      <c r="G24" s="8">
        <f>'Mid-Sized Schools'!G67</f>
        <v>89594050</v>
      </c>
      <c r="H24" s="8">
        <f>'Mid-Sized Schools'!H67</f>
        <v>254418150</v>
      </c>
      <c r="I24" s="8">
        <f>'Mid-Sized Schools'!I67</f>
        <v>515551400</v>
      </c>
      <c r="J24" s="8">
        <f>'Mid-Sized Schools'!J67</f>
        <v>824120500</v>
      </c>
      <c r="K24" s="8">
        <f>'Mid-Sized Schools'!K67</f>
        <v>1031102800</v>
      </c>
      <c r="L24" s="8">
        <f>'Mid-Sized Schools'!L67</f>
        <v>1399074250</v>
      </c>
      <c r="M24" s="8">
        <f>'Mid-Sized Schools'!M67</f>
        <v>2240090038</v>
      </c>
    </row>
    <row r="25">
      <c r="B25" s="23" t="s">
        <v>7</v>
      </c>
      <c r="C25" s="24">
        <f>'Flagship Schools'!C67</f>
        <v>0</v>
      </c>
      <c r="D25" s="24">
        <f>'Flagship Schools'!D67</f>
        <v>0</v>
      </c>
      <c r="E25" s="24">
        <f>'Flagship Schools'!E67</f>
        <v>0</v>
      </c>
      <c r="F25" s="24">
        <f>'Flagship Schools'!F67</f>
        <v>-1600000</v>
      </c>
      <c r="G25" s="24">
        <f>'Flagship Schools'!G67</f>
        <v>-1600000</v>
      </c>
      <c r="H25" s="24">
        <f>'Flagship Schools'!H67</f>
        <v>14257412.5</v>
      </c>
      <c r="I25" s="24">
        <f>'Flagship Schools'!I67</f>
        <v>32243837.5</v>
      </c>
      <c r="J25" s="24">
        <f>'Flagship Schools'!J67</f>
        <v>65558662.5</v>
      </c>
      <c r="K25" s="24">
        <f>'Flagship Schools'!K67</f>
        <v>83545087.5</v>
      </c>
      <c r="L25" s="24">
        <f>'Flagship Schools'!L67</f>
        <v>116859912.5</v>
      </c>
      <c r="M25" s="24">
        <f>'Flagship Schools'!M67</f>
        <v>134846337.5</v>
      </c>
    </row>
    <row r="26">
      <c r="B26" s="25" t="s">
        <v>12</v>
      </c>
      <c r="C26" s="26">
        <f t="shared" ref="C26:M26" si="3">SUM(C22:C25)</f>
        <v>37001464</v>
      </c>
      <c r="D26" s="26">
        <f t="shared" si="3"/>
        <v>73264905</v>
      </c>
      <c r="E26" s="26">
        <f t="shared" si="3"/>
        <v>132607895</v>
      </c>
      <c r="F26" s="26">
        <f t="shared" si="3"/>
        <v>210982685</v>
      </c>
      <c r="G26" s="26">
        <f t="shared" si="3"/>
        <v>387594050</v>
      </c>
      <c r="H26" s="26">
        <f t="shared" si="3"/>
        <v>779640562.5</v>
      </c>
      <c r="I26" s="26">
        <f t="shared" si="3"/>
        <v>1158475238</v>
      </c>
      <c r="J26" s="26">
        <f t="shared" si="3"/>
        <v>1537599163</v>
      </c>
      <c r="K26" s="26">
        <f t="shared" si="3"/>
        <v>1799807888</v>
      </c>
      <c r="L26" s="26">
        <f t="shared" si="3"/>
        <v>2238334163</v>
      </c>
      <c r="M26" s="27">
        <f t="shared" si="3"/>
        <v>3097336375</v>
      </c>
    </row>
    <row r="27">
      <c r="B27" s="28" t="s">
        <v>13</v>
      </c>
      <c r="C27" s="29">
        <f t="shared" ref="C27:M27" si="4">C26/C16</f>
        <v>0.3313613397</v>
      </c>
      <c r="D27" s="29">
        <f t="shared" si="4"/>
        <v>0.3065092457</v>
      </c>
      <c r="E27" s="29">
        <f t="shared" si="4"/>
        <v>0.3028476374</v>
      </c>
      <c r="F27" s="29">
        <f t="shared" si="4"/>
        <v>0.2748924249</v>
      </c>
      <c r="G27" s="29">
        <f t="shared" si="4"/>
        <v>0.2627400014</v>
      </c>
      <c r="H27" s="29">
        <f t="shared" si="4"/>
        <v>0.2710906912</v>
      </c>
      <c r="I27" s="29">
        <f t="shared" si="4"/>
        <v>0.2872183817</v>
      </c>
      <c r="J27" s="29">
        <f t="shared" si="4"/>
        <v>0.3037130926</v>
      </c>
      <c r="K27" s="29">
        <f t="shared" si="4"/>
        <v>0.2966108409</v>
      </c>
      <c r="L27" s="29">
        <f t="shared" si="4"/>
        <v>0.2916529304</v>
      </c>
      <c r="M27" s="29">
        <f t="shared" si="4"/>
        <v>0.3042338501</v>
      </c>
    </row>
    <row r="28">
      <c r="B28" s="1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>
      <c r="B29" s="5" t="s">
        <v>14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</row>
    <row r="30">
      <c r="B30" s="7" t="s">
        <v>15</v>
      </c>
      <c r="C30" s="8">
        <f>'Virtual Schools'!C26+Microschools!C38+'Mid-Sized Schools'!C71+'Flagship Schools'!C71</f>
        <v>5131000</v>
      </c>
      <c r="D30" s="8">
        <f>'Virtual Schools'!D26+Microschools!D38+'Mid-Sized Schools'!D71+'Flagship Schools'!D71</f>
        <v>8305500</v>
      </c>
      <c r="E30" s="8">
        <f>'Virtual Schools'!E26+Microschools!E38+'Mid-Sized Schools'!E71+'Flagship Schools'!E71</f>
        <v>13697000</v>
      </c>
      <c r="F30" s="8">
        <f>'Virtual Schools'!F26+Microschools!F38+'Mid-Sized Schools'!F71+'Flagship Schools'!F71</f>
        <v>22084000</v>
      </c>
      <c r="G30" s="8">
        <f>'Virtual Schools'!G26+Microschools!G38+'Mid-Sized Schools'!G71+'Flagship Schools'!G71</f>
        <v>41241000</v>
      </c>
      <c r="H30" s="8">
        <f>'Virtual Schools'!H26+Microschools!H38+'Mid-Sized Schools'!H71+'Flagship Schools'!H71</f>
        <v>76475000</v>
      </c>
      <c r="I30" s="8">
        <f>'Virtual Schools'!I26+Microschools!I38+'Mid-Sized Schools'!I71+'Flagship Schools'!I71</f>
        <v>90464653.85</v>
      </c>
      <c r="J30" s="8">
        <f>'Virtual Schools'!J26+Microschools!J38+'Mid-Sized Schools'!J71+'Flagship Schools'!J71</f>
        <v>102400615.4</v>
      </c>
      <c r="K30" s="8">
        <f>'Virtual Schools'!K26+Microschools!K38+'Mid-Sized Schools'!K71+'Flagship Schools'!K71</f>
        <v>114924923.1</v>
      </c>
      <c r="L30" s="8">
        <f>'Virtual Schools'!L26+Microschools!L38+'Mid-Sized Schools'!L71+'Flagship Schools'!L71</f>
        <v>151399384.6</v>
      </c>
      <c r="M30" s="8">
        <f>'Virtual Schools'!M26+Microschools!M38+'Mid-Sized Schools'!M71+'Flagship Schools'!M71</f>
        <v>206914692.3</v>
      </c>
    </row>
    <row r="31">
      <c r="B31" s="7" t="s">
        <v>16</v>
      </c>
      <c r="C31" s="8">
        <f>'Virtual Schools'!C27+Microschools!C39+'Mid-Sized Schools'!C72+'Flagship Schools'!C72</f>
        <v>20652000</v>
      </c>
      <c r="D31" s="8">
        <f>'Virtual Schools'!D27+Microschools!D39+'Mid-Sized Schools'!D72+'Flagship Schools'!D72</f>
        <v>33718500</v>
      </c>
      <c r="E31" s="8">
        <f>'Virtual Schools'!E27+Microschools!E39+'Mid-Sized Schools'!E72+'Flagship Schools'!E72</f>
        <v>56273000</v>
      </c>
      <c r="F31" s="8">
        <f>'Virtual Schools'!F27+Microschools!F39+'Mid-Sized Schools'!F72+'Flagship Schools'!F72</f>
        <v>92791000</v>
      </c>
      <c r="G31" s="8">
        <f>'Virtual Schools'!G27+Microschools!G39+'Mid-Sized Schools'!G72+'Flagship Schools'!G72</f>
        <v>178329000</v>
      </c>
      <c r="H31" s="8">
        <f>'Virtual Schools'!H27+Microschools!H39+'Mid-Sized Schools'!H72+'Flagship Schools'!H72</f>
        <v>338470000</v>
      </c>
      <c r="I31" s="8">
        <f>'Virtual Schools'!I27+Microschools!I39+'Mid-Sized Schools'!I72+'Flagship Schools'!I72</f>
        <v>390294115.4</v>
      </c>
      <c r="J31" s="8">
        <f>'Virtual Schools'!J27+Microschools!J39+'Mid-Sized Schools'!J72+'Flagship Schools'!J72</f>
        <v>433352461.5</v>
      </c>
      <c r="K31" s="8">
        <f>'Virtual Schools'!K27+Microschools!K39+'Mid-Sized Schools'!K72+'Flagship Schools'!K72</f>
        <v>483449692.3</v>
      </c>
      <c r="L31" s="8">
        <f>'Virtual Schools'!L27+Microschools!L39+'Mid-Sized Schools'!L72+'Flagship Schools'!L72</f>
        <v>629347538.5</v>
      </c>
      <c r="M31" s="8">
        <f>'Virtual Schools'!M27+Microschools!M39+'Mid-Sized Schools'!M72+'Flagship Schools'!M72</f>
        <v>851408769.2</v>
      </c>
    </row>
    <row r="32">
      <c r="B32" s="30" t="s">
        <v>17</v>
      </c>
      <c r="C32" s="31">
        <f t="shared" ref="C32:M32" si="5">C30+C31</f>
        <v>25783000</v>
      </c>
      <c r="D32" s="31">
        <f t="shared" si="5"/>
        <v>42024000</v>
      </c>
      <c r="E32" s="31">
        <f t="shared" si="5"/>
        <v>69970000</v>
      </c>
      <c r="F32" s="31">
        <f t="shared" si="5"/>
        <v>114875000</v>
      </c>
      <c r="G32" s="31">
        <f t="shared" si="5"/>
        <v>219570000</v>
      </c>
      <c r="H32" s="31">
        <f t="shared" si="5"/>
        <v>414945000</v>
      </c>
      <c r="I32" s="31">
        <f t="shared" si="5"/>
        <v>480758769.2</v>
      </c>
      <c r="J32" s="31">
        <f t="shared" si="5"/>
        <v>535753076.9</v>
      </c>
      <c r="K32" s="31">
        <f t="shared" si="5"/>
        <v>598374615.4</v>
      </c>
      <c r="L32" s="31">
        <f t="shared" si="5"/>
        <v>780746923.1</v>
      </c>
      <c r="M32" s="31">
        <f t="shared" si="5"/>
        <v>1058323462</v>
      </c>
    </row>
    <row r="33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>
      <c r="B34" s="5" t="s">
        <v>18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</row>
    <row r="35">
      <c r="B35" s="7" t="s">
        <v>3</v>
      </c>
      <c r="C35" s="8">
        <f>'Virtual Schools'!C30</f>
        <v>37240000</v>
      </c>
      <c r="D35" s="8">
        <f>'Virtual Schools'!D30</f>
        <v>74480000</v>
      </c>
      <c r="E35" s="8">
        <f>'Virtual Schools'!E30</f>
        <v>111720000</v>
      </c>
      <c r="F35" s="8">
        <f>'Virtual Schools'!F30</f>
        <v>148960000</v>
      </c>
      <c r="G35" s="8">
        <f>'Virtual Schools'!G30</f>
        <v>186200000</v>
      </c>
      <c r="H35" s="8">
        <f>'Virtual Schools'!H30</f>
        <v>223440000</v>
      </c>
      <c r="I35" s="8">
        <f>'Virtual Schools'!I30</f>
        <v>260680000</v>
      </c>
      <c r="J35" s="8">
        <f>'Virtual Schools'!J30</f>
        <v>297920000</v>
      </c>
      <c r="K35" s="8">
        <f>'Virtual Schools'!K30</f>
        <v>335160000</v>
      </c>
      <c r="L35" s="8">
        <f>'Virtual Schools'!L30</f>
        <v>372400000</v>
      </c>
      <c r="M35" s="8">
        <f>'Virtual Schools'!M30</f>
        <v>372400000</v>
      </c>
    </row>
    <row r="36">
      <c r="B36" s="7" t="s">
        <v>5</v>
      </c>
      <c r="C36" s="8">
        <f>Microschools!C44</f>
        <v>614500</v>
      </c>
      <c r="D36" s="8">
        <f>Microschools!D44</f>
        <v>1221000</v>
      </c>
      <c r="E36" s="8">
        <f>Microschools!E44</f>
        <v>3690000</v>
      </c>
      <c r="F36" s="8">
        <f>Microschools!F44</f>
        <v>11070000</v>
      </c>
      <c r="G36" s="8">
        <f>Microschools!G44</f>
        <v>33210000</v>
      </c>
      <c r="H36" s="8">
        <f>Microschools!H44</f>
        <v>92105000</v>
      </c>
      <c r="I36" s="8">
        <f>Microschools!I44</f>
        <v>179387000</v>
      </c>
      <c r="J36" s="8">
        <f>Microschools!J44</f>
        <v>207500000</v>
      </c>
      <c r="K36" s="8">
        <f>Microschools!K44</f>
        <v>207500000</v>
      </c>
      <c r="L36" s="8">
        <f>Microschools!L44</f>
        <v>207500000</v>
      </c>
      <c r="M36" s="8">
        <f>Microschools!M44</f>
        <v>207500000</v>
      </c>
    </row>
    <row r="37">
      <c r="B37" s="7" t="s">
        <v>6</v>
      </c>
      <c r="C37" s="8">
        <f>'Mid-Sized Schools'!C75</f>
        <v>-1636036</v>
      </c>
      <c r="D37" s="8">
        <f>'Mid-Sized Schools'!D75</f>
        <v>-7585095</v>
      </c>
      <c r="E37" s="8">
        <f>'Mid-Sized Schools'!E75</f>
        <v>-4022105</v>
      </c>
      <c r="F37" s="8">
        <f>'Mid-Sized Schools'!F75</f>
        <v>-1697315</v>
      </c>
      <c r="G37" s="8">
        <f>'Mid-Sized Schools'!G75</f>
        <v>22714050</v>
      </c>
      <c r="H37" s="8">
        <f>'Mid-Sized Schools'!H75</f>
        <v>121743150</v>
      </c>
      <c r="I37" s="8">
        <f>'Mid-Sized Schools'!I75</f>
        <v>304771400</v>
      </c>
      <c r="J37" s="8">
        <f>'Mid-Sized Schools'!J75</f>
        <v>545090500</v>
      </c>
      <c r="K37" s="8">
        <f>'Mid-Sized Schools'!K75</f>
        <v>700062800</v>
      </c>
      <c r="L37" s="8">
        <f>'Mid-Sized Schools'!L75</f>
        <v>900519250</v>
      </c>
      <c r="M37" s="8">
        <f>'Mid-Sized Schools'!M75</f>
        <v>1449565038</v>
      </c>
    </row>
    <row r="38">
      <c r="B38" s="23" t="s">
        <v>7</v>
      </c>
      <c r="C38" s="24">
        <f>'Flagship Schools'!C75</f>
        <v>0</v>
      </c>
      <c r="D38" s="24">
        <f>'Flagship Schools'!D75</f>
        <v>0</v>
      </c>
      <c r="E38" s="24">
        <f>'Flagship Schools'!E75</f>
        <v>0</v>
      </c>
      <c r="F38" s="24">
        <f>'Flagship Schools'!F75</f>
        <v>-1600000</v>
      </c>
      <c r="G38" s="24">
        <f>'Flagship Schools'!G75</f>
        <v>-1600000</v>
      </c>
      <c r="H38" s="24">
        <f>'Flagship Schools'!H75</f>
        <v>11782412.5</v>
      </c>
      <c r="I38" s="24">
        <f>'Flagship Schools'!I75</f>
        <v>29128068.27</v>
      </c>
      <c r="J38" s="24">
        <f>'Flagship Schools'!J75</f>
        <v>59460585.58</v>
      </c>
      <c r="K38" s="24">
        <f>'Flagship Schools'!K75</f>
        <v>78710472.12</v>
      </c>
      <c r="L38" s="24">
        <f>'Flagship Schools'!L75</f>
        <v>109042989.4</v>
      </c>
      <c r="M38" s="24">
        <f>'Flagship Schools'!M75</f>
        <v>128297876</v>
      </c>
    </row>
    <row r="39">
      <c r="B39" s="25" t="s">
        <v>19</v>
      </c>
      <c r="C39" s="26">
        <f t="shared" ref="C39:M39" si="6">SUM(C35:C38)</f>
        <v>36218464</v>
      </c>
      <c r="D39" s="26">
        <f t="shared" si="6"/>
        <v>68115905</v>
      </c>
      <c r="E39" s="26">
        <f t="shared" si="6"/>
        <v>111387895</v>
      </c>
      <c r="F39" s="26">
        <f t="shared" si="6"/>
        <v>156732685</v>
      </c>
      <c r="G39" s="26">
        <f t="shared" si="6"/>
        <v>240524050</v>
      </c>
      <c r="H39" s="26">
        <f t="shared" si="6"/>
        <v>449070562.5</v>
      </c>
      <c r="I39" s="26">
        <f t="shared" si="6"/>
        <v>773966468.3</v>
      </c>
      <c r="J39" s="26">
        <f t="shared" si="6"/>
        <v>1109971086</v>
      </c>
      <c r="K39" s="26">
        <f t="shared" si="6"/>
        <v>1321433272</v>
      </c>
      <c r="L39" s="26">
        <f t="shared" si="6"/>
        <v>1589462239</v>
      </c>
      <c r="M39" s="27">
        <f t="shared" si="6"/>
        <v>2157762913</v>
      </c>
    </row>
    <row r="40">
      <c r="B40" s="28" t="s">
        <v>13</v>
      </c>
      <c r="C40" s="29">
        <f t="shared" ref="C40:M40" si="7">C39/C16</f>
        <v>0.3243492948</v>
      </c>
      <c r="D40" s="29">
        <f t="shared" si="7"/>
        <v>0.2849680166</v>
      </c>
      <c r="E40" s="29">
        <f t="shared" si="7"/>
        <v>0.2543857652</v>
      </c>
      <c r="F40" s="29">
        <f t="shared" si="7"/>
        <v>0.2042093067</v>
      </c>
      <c r="G40" s="29">
        <f t="shared" si="7"/>
        <v>0.1630450447</v>
      </c>
      <c r="H40" s="29">
        <f t="shared" si="7"/>
        <v>0.1561474031</v>
      </c>
      <c r="I40" s="29">
        <f t="shared" si="7"/>
        <v>0.1918879138</v>
      </c>
      <c r="J40" s="29">
        <f t="shared" si="7"/>
        <v>0.2192461854</v>
      </c>
      <c r="K40" s="29">
        <f t="shared" si="7"/>
        <v>0.2177740395</v>
      </c>
      <c r="L40" s="29">
        <f t="shared" si="7"/>
        <v>0.2071055018</v>
      </c>
      <c r="M40" s="29">
        <f t="shared" si="7"/>
        <v>0.2119448582</v>
      </c>
    </row>
    <row r="41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>
      <c r="B42" s="5" t="s">
        <v>20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</row>
    <row r="43">
      <c r="B43" s="7" t="s">
        <v>3</v>
      </c>
      <c r="C43" s="8">
        <f>'Virtual Schools'!C32</f>
        <v>37240000</v>
      </c>
      <c r="D43" s="8">
        <f>'Virtual Schools'!D32</f>
        <v>74480000</v>
      </c>
      <c r="E43" s="8">
        <f>'Virtual Schools'!E32</f>
        <v>111720000</v>
      </c>
      <c r="F43" s="8">
        <f>'Virtual Schools'!F32</f>
        <v>148960000</v>
      </c>
      <c r="G43" s="8">
        <f>'Virtual Schools'!G32</f>
        <v>186200000</v>
      </c>
      <c r="H43" s="8">
        <f>'Virtual Schools'!H32</f>
        <v>223440000</v>
      </c>
      <c r="I43" s="8">
        <f>'Virtual Schools'!I32</f>
        <v>260680000</v>
      </c>
      <c r="J43" s="8">
        <f>'Virtual Schools'!J32</f>
        <v>297920000</v>
      </c>
      <c r="K43" s="8">
        <f>'Virtual Schools'!K32</f>
        <v>335160000</v>
      </c>
      <c r="L43" s="8">
        <f>'Virtual Schools'!L32</f>
        <v>372400000</v>
      </c>
      <c r="M43" s="8">
        <f>'Virtual Schools'!M32</f>
        <v>372400000</v>
      </c>
    </row>
    <row r="44">
      <c r="B44" s="7" t="s">
        <v>5</v>
      </c>
      <c r="C44" s="8">
        <f>Microschools!C44</f>
        <v>614500</v>
      </c>
      <c r="D44" s="8">
        <f>Microschools!D44</f>
        <v>1221000</v>
      </c>
      <c r="E44" s="8">
        <f>Microschools!E44</f>
        <v>3690000</v>
      </c>
      <c r="F44" s="8">
        <f>Microschools!F44</f>
        <v>11070000</v>
      </c>
      <c r="G44" s="8">
        <f>Microschools!G44</f>
        <v>33210000</v>
      </c>
      <c r="H44" s="8">
        <f>Microschools!H44</f>
        <v>92105000</v>
      </c>
      <c r="I44" s="8">
        <f>Microschools!I44</f>
        <v>179387000</v>
      </c>
      <c r="J44" s="8">
        <f>Microschools!J44</f>
        <v>207500000</v>
      </c>
      <c r="K44" s="8">
        <f>Microschools!K44</f>
        <v>207500000</v>
      </c>
      <c r="L44" s="8">
        <f>Microschools!L44</f>
        <v>207500000</v>
      </c>
      <c r="M44" s="8">
        <f>Microschools!M44</f>
        <v>207500000</v>
      </c>
    </row>
    <row r="45">
      <c r="B45" s="7" t="s">
        <v>6</v>
      </c>
      <c r="C45" s="8">
        <f>'Mid-Sized Schools'!C75-'Mid-Sized Schools'!C54</f>
        <v>-26636036</v>
      </c>
      <c r="D45" s="8">
        <f>'Mid-Sized Schools'!D75-'Mid-Sized Schools'!D54</f>
        <v>-267585095</v>
      </c>
      <c r="E45" s="8">
        <f>'Mid-Sized Schools'!E75-'Mid-Sized Schools'!E54</f>
        <v>-329022105</v>
      </c>
      <c r="F45" s="8">
        <f>'Mid-Sized Schools'!F75-'Mid-Sized Schools'!F54</f>
        <v>-976697315</v>
      </c>
      <c r="G45" s="8">
        <f>'Mid-Sized Schools'!G75-'Mid-Sized Schools'!G54</f>
        <v>-1602285950</v>
      </c>
      <c r="H45" s="8">
        <f>'Mid-Sized Schools'!H75-'Mid-Sized Schools'!H54</f>
        <v>-1503256850</v>
      </c>
      <c r="I45" s="8">
        <f>'Mid-Sized Schools'!I75-'Mid-Sized Schools'!I54</f>
        <v>-1320228600</v>
      </c>
      <c r="J45" s="8">
        <f>'Mid-Sized Schools'!J75-'Mid-Sized Schools'!J54</f>
        <v>-1079909500</v>
      </c>
      <c r="K45" s="8">
        <f>'Mid-Sized Schools'!K75-'Mid-Sized Schools'!K54</f>
        <v>-4174937200</v>
      </c>
      <c r="L45" s="8">
        <f>'Mid-Sized Schools'!L75-'Mid-Sized Schools'!L54</f>
        <v>-6411980750</v>
      </c>
      <c r="M45" s="8">
        <f>'Mid-Sized Schools'!M75-'Mid-Sized Schools'!M54</f>
        <v>-4237934963</v>
      </c>
    </row>
    <row r="46">
      <c r="B46" s="7" t="s">
        <v>7</v>
      </c>
      <c r="C46" s="8">
        <f>'Flagship Schools'!C75-'Flagship Schools'!C54</f>
        <v>0</v>
      </c>
      <c r="D46" s="8">
        <f>'Flagship Schools'!D75-'Flagship Schools'!D54</f>
        <v>0</v>
      </c>
      <c r="E46" s="8">
        <f>'Flagship Schools'!E75-'Flagship Schools'!E54</f>
        <v>0</v>
      </c>
      <c r="F46" s="8">
        <f>'Flagship Schools'!F75-'Flagship Schools'!F54</f>
        <v>-76600000</v>
      </c>
      <c r="G46" s="8">
        <f>'Flagship Schools'!G75-'Flagship Schools'!G54</f>
        <v>-1600000</v>
      </c>
      <c r="H46" s="8">
        <f>'Flagship Schools'!H75-'Flagship Schools'!H54</f>
        <v>-63217587.5</v>
      </c>
      <c r="I46" s="8">
        <f>'Flagship Schools'!I75-'Flagship Schools'!I54</f>
        <v>29128068.27</v>
      </c>
      <c r="J46" s="8">
        <f>'Flagship Schools'!J75-'Flagship Schools'!J54</f>
        <v>-15539414.42</v>
      </c>
      <c r="K46" s="8">
        <f>'Flagship Schools'!K75-'Flagship Schools'!K54</f>
        <v>78710472.12</v>
      </c>
      <c r="L46" s="8">
        <f>'Flagship Schools'!L75-'Flagship Schools'!L54</f>
        <v>34042989.42</v>
      </c>
      <c r="M46" s="8">
        <f>'Flagship Schools'!M75-'Flagship Schools'!M54</f>
        <v>128297876</v>
      </c>
    </row>
    <row r="47">
      <c r="B47" s="32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</row>
    <row r="48">
      <c r="B48" s="32" t="s">
        <v>21</v>
      </c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</row>
    <row r="49">
      <c r="B49" s="7" t="s">
        <v>22</v>
      </c>
      <c r="C49" s="33">
        <f>'Mid-Sized Schools'!C59+'Flagship Schools'!C59</f>
        <v>36000000</v>
      </c>
      <c r="D49" s="33">
        <f>'Mid-Sized Schools'!D59+'Flagship Schools'!D59</f>
        <v>293500000</v>
      </c>
      <c r="E49" s="33">
        <f>'Mid-Sized Schools'!E59+'Flagship Schools'!E59</f>
        <v>594400000</v>
      </c>
      <c r="F49" s="33">
        <f>'Mid-Sized Schools'!F59+'Flagship Schools'!F59</f>
        <v>1593300000</v>
      </c>
      <c r="G49" s="33">
        <f>'Mid-Sized Schools'!G59+'Flagship Schools'!G59</f>
        <v>3080200000</v>
      </c>
      <c r="H49" s="33">
        <f>'Mid-Sized Schools'!H59+'Flagship Schools'!H59</f>
        <v>4507100000</v>
      </c>
      <c r="I49" s="33">
        <f>'Mid-Sized Schools'!I59+'Flagship Schools'!I59</f>
        <v>5718000000</v>
      </c>
      <c r="J49" s="33">
        <f>'Mid-Sized Schools'!J59+'Flagship Schools'!J59</f>
        <v>6868900000</v>
      </c>
      <c r="K49" s="33">
        <f>'Mid-Sized Schools'!K59+'Flagship Schools'!K59</f>
        <v>11053800000</v>
      </c>
      <c r="L49" s="33">
        <f>'Mid-Sized Schools'!L59+'Flagship Schools'!L59</f>
        <v>17346200000</v>
      </c>
      <c r="M49" s="33">
        <f>'Mid-Sized Schools'!M59+'Flagship Schools'!M59</f>
        <v>21325100000</v>
      </c>
    </row>
    <row r="50">
      <c r="B50" s="34" t="s">
        <v>23</v>
      </c>
      <c r="C50" s="35">
        <f t="shared" ref="C50:M50" si="8">SUM(C43:C46)</f>
        <v>11218464</v>
      </c>
      <c r="D50" s="35">
        <f t="shared" si="8"/>
        <v>-191884095</v>
      </c>
      <c r="E50" s="35">
        <f t="shared" si="8"/>
        <v>-213612105</v>
      </c>
      <c r="F50" s="35">
        <f t="shared" si="8"/>
        <v>-893267315</v>
      </c>
      <c r="G50" s="35">
        <f t="shared" si="8"/>
        <v>-1384475950</v>
      </c>
      <c r="H50" s="35">
        <f t="shared" si="8"/>
        <v>-1250929438</v>
      </c>
      <c r="I50" s="35">
        <f t="shared" si="8"/>
        <v>-851033531.7</v>
      </c>
      <c r="J50" s="35">
        <f t="shared" si="8"/>
        <v>-590028914.4</v>
      </c>
      <c r="K50" s="35">
        <f t="shared" si="8"/>
        <v>-3553566728</v>
      </c>
      <c r="L50" s="35">
        <f t="shared" si="8"/>
        <v>-5798037761</v>
      </c>
      <c r="M50" s="36">
        <f t="shared" si="8"/>
        <v>-3529737087</v>
      </c>
    </row>
    <row r="51">
      <c r="B51" s="37" t="s">
        <v>24</v>
      </c>
      <c r="C51" s="38"/>
      <c r="D51" s="39"/>
      <c r="E51" s="39"/>
      <c r="F51" s="39"/>
      <c r="G51" s="39"/>
      <c r="H51" s="39"/>
      <c r="I51" s="39"/>
      <c r="J51" s="39"/>
      <c r="K51" s="39"/>
      <c r="L51" s="39"/>
      <c r="M51" s="40">
        <f>(M39*17.5)+M49</f>
        <v>59085950986</v>
      </c>
    </row>
    <row r="52">
      <c r="B52" s="37" t="s">
        <v>25</v>
      </c>
      <c r="C52" s="41">
        <f t="shared" ref="C52:M52" si="9">C50+C51</f>
        <v>11218464</v>
      </c>
      <c r="D52" s="41">
        <f t="shared" si="9"/>
        <v>-191884095</v>
      </c>
      <c r="E52" s="41">
        <f t="shared" si="9"/>
        <v>-213612105</v>
      </c>
      <c r="F52" s="41">
        <f t="shared" si="9"/>
        <v>-893267315</v>
      </c>
      <c r="G52" s="41">
        <f t="shared" si="9"/>
        <v>-1384475950</v>
      </c>
      <c r="H52" s="41">
        <f t="shared" si="9"/>
        <v>-1250929438</v>
      </c>
      <c r="I52" s="41">
        <f t="shared" si="9"/>
        <v>-851033531.7</v>
      </c>
      <c r="J52" s="41">
        <f t="shared" si="9"/>
        <v>-590028914.4</v>
      </c>
      <c r="K52" s="41">
        <f t="shared" si="9"/>
        <v>-3553566728</v>
      </c>
      <c r="L52" s="41">
        <f t="shared" si="9"/>
        <v>-5798037761</v>
      </c>
      <c r="M52" s="41">
        <f t="shared" si="9"/>
        <v>55556213899</v>
      </c>
    </row>
    <row r="53">
      <c r="B53" s="37" t="s">
        <v>26</v>
      </c>
      <c r="C53" s="42">
        <f>IRR(C52:M52)</f>
        <v>0.4117339099</v>
      </c>
      <c r="D53" s="2"/>
      <c r="E53" s="2"/>
      <c r="F53" s="2"/>
      <c r="G53" s="2"/>
      <c r="H53" s="2"/>
      <c r="I53" s="2"/>
      <c r="J53" s="2"/>
      <c r="K53" s="2"/>
      <c r="L53" s="2"/>
      <c r="M53" s="2"/>
    </row>
    <row r="54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>
      <c r="F56" s="2"/>
      <c r="G56" s="2"/>
      <c r="H56" s="2"/>
      <c r="I56" s="2"/>
      <c r="J56" s="2"/>
      <c r="K56" s="2"/>
      <c r="L56" s="2"/>
      <c r="M56" s="2"/>
    </row>
    <row r="57">
      <c r="B57" s="43" t="s">
        <v>27</v>
      </c>
    </row>
    <row r="58">
      <c r="B58" s="44" t="s">
        <v>28</v>
      </c>
      <c r="C58" s="44">
        <v>5.0</v>
      </c>
    </row>
    <row r="59">
      <c r="B59" s="44" t="s">
        <v>29</v>
      </c>
      <c r="C59" s="44">
        <v>7.5</v>
      </c>
    </row>
    <row r="60">
      <c r="B60" s="44" t="s">
        <v>30</v>
      </c>
      <c r="C60" s="44">
        <v>10.0</v>
      </c>
    </row>
    <row r="61">
      <c r="B61" s="44"/>
    </row>
    <row r="62">
      <c r="B62" s="43" t="s">
        <v>31</v>
      </c>
    </row>
    <row r="63">
      <c r="B63" s="44" t="s">
        <v>28</v>
      </c>
      <c r="C63" s="44">
        <v>15.0</v>
      </c>
    </row>
    <row r="64">
      <c r="B64" s="44" t="s">
        <v>29</v>
      </c>
      <c r="C64" s="44">
        <v>17.5</v>
      </c>
    </row>
    <row r="65">
      <c r="B65" s="44" t="s">
        <v>30</v>
      </c>
      <c r="C65" s="44">
        <v>20.0</v>
      </c>
    </row>
    <row r="67">
      <c r="B67" s="43" t="s">
        <v>32</v>
      </c>
    </row>
    <row r="68">
      <c r="B68" s="44" t="s">
        <v>28</v>
      </c>
      <c r="C68" s="45">
        <f t="shared" ref="C68:M68" si="10">$C$58*C$16</f>
        <v>558325000</v>
      </c>
      <c r="D68" s="45">
        <f t="shared" si="10"/>
        <v>1195150000</v>
      </c>
      <c r="E68" s="45">
        <f t="shared" si="10"/>
        <v>2189350000</v>
      </c>
      <c r="F68" s="45">
        <f t="shared" si="10"/>
        <v>3837550000</v>
      </c>
      <c r="G68" s="45">
        <f t="shared" si="10"/>
        <v>7376000000</v>
      </c>
      <c r="H68" s="45">
        <f t="shared" si="10"/>
        <v>14379700000</v>
      </c>
      <c r="I68" s="45">
        <f t="shared" si="10"/>
        <v>20167150000</v>
      </c>
      <c r="J68" s="45">
        <f t="shared" si="10"/>
        <v>25313350000</v>
      </c>
      <c r="K68" s="45">
        <f t="shared" si="10"/>
        <v>30339550000</v>
      </c>
      <c r="L68" s="45">
        <f t="shared" si="10"/>
        <v>38373250000</v>
      </c>
      <c r="M68" s="45">
        <f t="shared" si="10"/>
        <v>50903875000</v>
      </c>
    </row>
    <row r="69">
      <c r="B69" s="44" t="s">
        <v>29</v>
      </c>
      <c r="C69" s="45">
        <f t="shared" ref="C69:M69" si="11">$C$59*C$16</f>
        <v>837487500</v>
      </c>
      <c r="D69" s="45">
        <f t="shared" si="11"/>
        <v>1792725000</v>
      </c>
      <c r="E69" s="45">
        <f t="shared" si="11"/>
        <v>3284025000</v>
      </c>
      <c r="F69" s="45">
        <f t="shared" si="11"/>
        <v>5756325000</v>
      </c>
      <c r="G69" s="45">
        <f t="shared" si="11"/>
        <v>11064000000</v>
      </c>
      <c r="H69" s="45">
        <f t="shared" si="11"/>
        <v>21569550000</v>
      </c>
      <c r="I69" s="45">
        <f t="shared" si="11"/>
        <v>30250725000</v>
      </c>
      <c r="J69" s="45">
        <f t="shared" si="11"/>
        <v>37970025000</v>
      </c>
      <c r="K69" s="45">
        <f t="shared" si="11"/>
        <v>45509325000</v>
      </c>
      <c r="L69" s="45">
        <f t="shared" si="11"/>
        <v>57559875000</v>
      </c>
      <c r="M69" s="45">
        <f t="shared" si="11"/>
        <v>76355812500</v>
      </c>
    </row>
    <row r="70">
      <c r="B70" s="44" t="s">
        <v>30</v>
      </c>
      <c r="C70" s="45">
        <f t="shared" ref="C70:M70" si="12">$C$60*C$16</f>
        <v>1116650000</v>
      </c>
      <c r="D70" s="45">
        <f t="shared" si="12"/>
        <v>2390300000</v>
      </c>
      <c r="E70" s="45">
        <f t="shared" si="12"/>
        <v>4378700000</v>
      </c>
      <c r="F70" s="45">
        <f t="shared" si="12"/>
        <v>7675100000</v>
      </c>
      <c r="G70" s="45">
        <f t="shared" si="12"/>
        <v>14752000000</v>
      </c>
      <c r="H70" s="45">
        <f t="shared" si="12"/>
        <v>28759400000</v>
      </c>
      <c r="I70" s="45">
        <f t="shared" si="12"/>
        <v>40334300000</v>
      </c>
      <c r="J70" s="45">
        <f t="shared" si="12"/>
        <v>50626700000</v>
      </c>
      <c r="K70" s="45">
        <f t="shared" si="12"/>
        <v>60679100000</v>
      </c>
      <c r="L70" s="45">
        <f t="shared" si="12"/>
        <v>76746500000</v>
      </c>
      <c r="M70" s="45">
        <f t="shared" si="12"/>
        <v>101807750000</v>
      </c>
    </row>
    <row r="72">
      <c r="B72" s="44" t="s">
        <v>33</v>
      </c>
    </row>
    <row r="73">
      <c r="B73" s="44" t="s">
        <v>28</v>
      </c>
      <c r="C73" s="45">
        <f t="shared" ref="C73:M73" si="13">$C$63*C$39</f>
        <v>543276960</v>
      </c>
      <c r="D73" s="45">
        <f t="shared" si="13"/>
        <v>1021738575</v>
      </c>
      <c r="E73" s="45">
        <f t="shared" si="13"/>
        <v>1670818425</v>
      </c>
      <c r="F73" s="45">
        <f t="shared" si="13"/>
        <v>2350990275</v>
      </c>
      <c r="G73" s="45">
        <f t="shared" si="13"/>
        <v>3607860750</v>
      </c>
      <c r="H73" s="45">
        <f t="shared" si="13"/>
        <v>6736058438</v>
      </c>
      <c r="I73" s="45">
        <f t="shared" si="13"/>
        <v>11609497024</v>
      </c>
      <c r="J73" s="45">
        <f t="shared" si="13"/>
        <v>16649566284</v>
      </c>
      <c r="K73" s="45">
        <f t="shared" si="13"/>
        <v>19821499082</v>
      </c>
      <c r="L73" s="45">
        <f t="shared" si="13"/>
        <v>23841933591</v>
      </c>
      <c r="M73" s="45">
        <f t="shared" si="13"/>
        <v>32366443702</v>
      </c>
    </row>
    <row r="74">
      <c r="B74" s="44" t="s">
        <v>29</v>
      </c>
      <c r="C74" s="45">
        <f t="shared" ref="C74:M74" si="14">$C$64*C$39</f>
        <v>633823120</v>
      </c>
      <c r="D74" s="45">
        <f t="shared" si="14"/>
        <v>1192028338</v>
      </c>
      <c r="E74" s="45">
        <f t="shared" si="14"/>
        <v>1949288163</v>
      </c>
      <c r="F74" s="45">
        <f t="shared" si="14"/>
        <v>2742821988</v>
      </c>
      <c r="G74" s="45">
        <f t="shared" si="14"/>
        <v>4209170875</v>
      </c>
      <c r="H74" s="45">
        <f t="shared" si="14"/>
        <v>7858734844</v>
      </c>
      <c r="I74" s="45">
        <f t="shared" si="14"/>
        <v>13544413195</v>
      </c>
      <c r="J74" s="45">
        <f t="shared" si="14"/>
        <v>19424493998</v>
      </c>
      <c r="K74" s="45">
        <f t="shared" si="14"/>
        <v>23125082262</v>
      </c>
      <c r="L74" s="45">
        <f t="shared" si="14"/>
        <v>27815589190</v>
      </c>
      <c r="M74" s="45">
        <f t="shared" si="14"/>
        <v>37760850986</v>
      </c>
    </row>
    <row r="75">
      <c r="B75" s="44" t="s">
        <v>30</v>
      </c>
      <c r="C75" s="45">
        <f t="shared" ref="C75:M75" si="15">$C$65*C$39</f>
        <v>724369280</v>
      </c>
      <c r="D75" s="45">
        <f t="shared" si="15"/>
        <v>1362318100</v>
      </c>
      <c r="E75" s="45">
        <f t="shared" si="15"/>
        <v>2227757900</v>
      </c>
      <c r="F75" s="45">
        <f t="shared" si="15"/>
        <v>3134653700</v>
      </c>
      <c r="G75" s="45">
        <f t="shared" si="15"/>
        <v>4810481000</v>
      </c>
      <c r="H75" s="45">
        <f t="shared" si="15"/>
        <v>8981411250</v>
      </c>
      <c r="I75" s="45">
        <f t="shared" si="15"/>
        <v>15479329365</v>
      </c>
      <c r="J75" s="45">
        <f t="shared" si="15"/>
        <v>22199421712</v>
      </c>
      <c r="K75" s="45">
        <f t="shared" si="15"/>
        <v>26428665442</v>
      </c>
      <c r="L75" s="45">
        <f t="shared" si="15"/>
        <v>31789244788</v>
      </c>
      <c r="M75" s="45">
        <f t="shared" si="15"/>
        <v>43155258269</v>
      </c>
    </row>
    <row r="77">
      <c r="B77" s="44" t="s">
        <v>34</v>
      </c>
    </row>
    <row r="78">
      <c r="B78" s="44" t="s">
        <v>28</v>
      </c>
      <c r="C78" s="45">
        <f t="shared" ref="C78:M78" si="16">MIN(C68:C75)</f>
        <v>543276960</v>
      </c>
      <c r="D78" s="45">
        <f t="shared" si="16"/>
        <v>1021738575</v>
      </c>
      <c r="E78" s="45">
        <f t="shared" si="16"/>
        <v>1670818425</v>
      </c>
      <c r="F78" s="45">
        <f t="shared" si="16"/>
        <v>2350990275</v>
      </c>
      <c r="G78" s="45">
        <f t="shared" si="16"/>
        <v>3607860750</v>
      </c>
      <c r="H78" s="45">
        <f t="shared" si="16"/>
        <v>6736058438</v>
      </c>
      <c r="I78" s="45">
        <f t="shared" si="16"/>
        <v>11609497024</v>
      </c>
      <c r="J78" s="45">
        <f t="shared" si="16"/>
        <v>16649566284</v>
      </c>
      <c r="K78" s="45">
        <f t="shared" si="16"/>
        <v>19821499082</v>
      </c>
      <c r="L78" s="45">
        <f t="shared" si="16"/>
        <v>23841933591</v>
      </c>
      <c r="M78" s="45">
        <f t="shared" si="16"/>
        <v>32366443702</v>
      </c>
    </row>
    <row r="79">
      <c r="B79" s="44" t="s">
        <v>30</v>
      </c>
      <c r="C79" s="45">
        <f t="shared" ref="C79:M79" si="17">MAX(C68:C75)</f>
        <v>1116650000</v>
      </c>
      <c r="D79" s="45">
        <f t="shared" si="17"/>
        <v>2390300000</v>
      </c>
      <c r="E79" s="45">
        <f t="shared" si="17"/>
        <v>4378700000</v>
      </c>
      <c r="F79" s="45">
        <f t="shared" si="17"/>
        <v>7675100000</v>
      </c>
      <c r="G79" s="45">
        <f t="shared" si="17"/>
        <v>14752000000</v>
      </c>
      <c r="H79" s="45">
        <f t="shared" si="17"/>
        <v>28759400000</v>
      </c>
      <c r="I79" s="45">
        <f t="shared" si="17"/>
        <v>40334300000</v>
      </c>
      <c r="J79" s="45">
        <f t="shared" si="17"/>
        <v>50626700000</v>
      </c>
      <c r="K79" s="45">
        <f t="shared" si="17"/>
        <v>60679100000</v>
      </c>
      <c r="L79" s="45">
        <f t="shared" si="17"/>
        <v>76746500000</v>
      </c>
      <c r="M79" s="45">
        <f t="shared" si="17"/>
        <v>101807750000</v>
      </c>
    </row>
  </sheetData>
  <conditionalFormatting sqref="B57:C57">
    <cfRule type="colorScale" priority="1">
      <colorScale>
        <cfvo type="min"/>
        <cfvo type="max"/>
        <color rgb="FFFFFFFF"/>
        <color rgb="FF57BB8A"/>
      </colorScale>
    </cfRule>
  </conditionalFormatting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150.13"/>
  </cols>
  <sheetData>
    <row r="1">
      <c r="A1" s="43" t="s">
        <v>35</v>
      </c>
      <c r="B1" s="46"/>
      <c r="C1" s="47"/>
    </row>
    <row r="2">
      <c r="A2" s="43" t="s">
        <v>36</v>
      </c>
      <c r="B2" s="48" t="s">
        <v>37</v>
      </c>
      <c r="C2" s="43" t="s">
        <v>38</v>
      </c>
    </row>
    <row r="3">
      <c r="B3" s="49"/>
    </row>
    <row r="4">
      <c r="B4" s="49"/>
    </row>
    <row r="5">
      <c r="B5" s="49"/>
    </row>
    <row r="6">
      <c r="B6" s="49"/>
    </row>
    <row r="7">
      <c r="B7" s="49"/>
    </row>
    <row r="8">
      <c r="B8" s="49"/>
    </row>
    <row r="9">
      <c r="B9" s="49"/>
    </row>
    <row r="10">
      <c r="B10" s="49"/>
    </row>
    <row r="11">
      <c r="B11" s="49"/>
    </row>
    <row r="12">
      <c r="B12" s="49"/>
    </row>
    <row r="13">
      <c r="B13" s="49"/>
    </row>
    <row r="14">
      <c r="B14" s="49"/>
    </row>
    <row r="15">
      <c r="B15" s="49"/>
    </row>
    <row r="16">
      <c r="B16" s="49"/>
    </row>
    <row r="17">
      <c r="B17" s="49"/>
    </row>
    <row r="18">
      <c r="B18" s="49"/>
    </row>
    <row r="19">
      <c r="B19" s="49"/>
    </row>
    <row r="20">
      <c r="B20" s="49"/>
    </row>
    <row r="21">
      <c r="B21" s="49"/>
    </row>
    <row r="22">
      <c r="B22" s="49"/>
    </row>
    <row r="23">
      <c r="B23" s="49"/>
    </row>
    <row r="24">
      <c r="B24" s="49"/>
    </row>
    <row r="25">
      <c r="B25" s="49"/>
    </row>
    <row r="26">
      <c r="B26" s="49"/>
    </row>
    <row r="27">
      <c r="B27" s="49"/>
    </row>
    <row r="28">
      <c r="B28" s="49"/>
    </row>
    <row r="29">
      <c r="B29" s="49"/>
    </row>
    <row r="30">
      <c r="B30" s="49"/>
    </row>
    <row r="31">
      <c r="B31" s="49"/>
    </row>
    <row r="32">
      <c r="B32" s="49"/>
    </row>
    <row r="33">
      <c r="B33" s="49"/>
    </row>
    <row r="34">
      <c r="B34" s="49"/>
    </row>
    <row r="35">
      <c r="B35" s="49"/>
    </row>
    <row r="36">
      <c r="B36" s="49"/>
    </row>
    <row r="37">
      <c r="B37" s="49"/>
    </row>
    <row r="38">
      <c r="B38" s="49"/>
    </row>
    <row r="39">
      <c r="B39" s="49"/>
    </row>
    <row r="40">
      <c r="B40" s="49"/>
    </row>
    <row r="41">
      <c r="B41" s="49"/>
    </row>
    <row r="42">
      <c r="B42" s="49"/>
    </row>
    <row r="43">
      <c r="B43" s="49"/>
    </row>
    <row r="44">
      <c r="B44" s="49"/>
    </row>
    <row r="45">
      <c r="B45" s="49"/>
    </row>
    <row r="46">
      <c r="B46" s="49"/>
    </row>
    <row r="47">
      <c r="B47" s="49"/>
    </row>
    <row r="48">
      <c r="B48" s="49"/>
    </row>
    <row r="49">
      <c r="B49" s="49"/>
    </row>
    <row r="50">
      <c r="B50" s="49"/>
    </row>
    <row r="51">
      <c r="B51" s="49"/>
    </row>
    <row r="52">
      <c r="B52" s="49"/>
    </row>
    <row r="53">
      <c r="B53" s="49"/>
    </row>
    <row r="54">
      <c r="B54" s="49"/>
    </row>
    <row r="55">
      <c r="B55" s="49"/>
    </row>
    <row r="56">
      <c r="B56" s="49"/>
    </row>
    <row r="57">
      <c r="B57" s="49"/>
    </row>
    <row r="58">
      <c r="B58" s="49"/>
    </row>
    <row r="59">
      <c r="B59" s="49"/>
    </row>
    <row r="60">
      <c r="B60" s="49"/>
    </row>
    <row r="61">
      <c r="B61" s="49"/>
    </row>
    <row r="62">
      <c r="B62" s="49"/>
    </row>
    <row r="63">
      <c r="B63" s="49"/>
    </row>
    <row r="64">
      <c r="B64" s="49"/>
    </row>
    <row r="65">
      <c r="B65" s="49"/>
    </row>
    <row r="66">
      <c r="B66" s="49"/>
    </row>
    <row r="67">
      <c r="B67" s="49"/>
    </row>
    <row r="68">
      <c r="B68" s="49"/>
    </row>
    <row r="69">
      <c r="B69" s="49"/>
    </row>
    <row r="70">
      <c r="B70" s="49"/>
    </row>
    <row r="71">
      <c r="B71" s="49"/>
    </row>
    <row r="72">
      <c r="B72" s="49"/>
    </row>
    <row r="73">
      <c r="B73" s="49"/>
    </row>
    <row r="74">
      <c r="B74" s="49"/>
    </row>
    <row r="75">
      <c r="B75" s="49"/>
    </row>
    <row r="76">
      <c r="B76" s="49"/>
    </row>
    <row r="77">
      <c r="B77" s="49"/>
    </row>
    <row r="78">
      <c r="B78" s="49"/>
    </row>
    <row r="79">
      <c r="B79" s="49"/>
    </row>
    <row r="80">
      <c r="B80" s="49"/>
    </row>
    <row r="81">
      <c r="B81" s="49"/>
    </row>
    <row r="82">
      <c r="B82" s="49"/>
    </row>
    <row r="83">
      <c r="B83" s="49"/>
    </row>
    <row r="84">
      <c r="B84" s="49"/>
    </row>
    <row r="85">
      <c r="B85" s="49"/>
    </row>
    <row r="86">
      <c r="B86" s="49"/>
    </row>
    <row r="87">
      <c r="B87" s="49"/>
    </row>
    <row r="88">
      <c r="B88" s="49"/>
    </row>
    <row r="89">
      <c r="B89" s="49"/>
    </row>
    <row r="90">
      <c r="B90" s="49"/>
    </row>
    <row r="91">
      <c r="B91" s="49"/>
    </row>
    <row r="92">
      <c r="B92" s="49"/>
    </row>
    <row r="93">
      <c r="B93" s="49"/>
    </row>
    <row r="94">
      <c r="B94" s="49"/>
    </row>
    <row r="95">
      <c r="B95" s="49"/>
    </row>
    <row r="96">
      <c r="B96" s="49"/>
    </row>
    <row r="97">
      <c r="B97" s="49"/>
    </row>
    <row r="98">
      <c r="B98" s="49"/>
    </row>
    <row r="99">
      <c r="B99" s="49"/>
    </row>
    <row r="100">
      <c r="B100" s="4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0.38"/>
    <col customWidth="1" min="2" max="2" width="22.38"/>
  </cols>
  <sheetData>
    <row r="1">
      <c r="A1" s="44" t="s">
        <v>39</v>
      </c>
      <c r="B1" s="50" t="s">
        <v>40</v>
      </c>
    </row>
    <row r="2">
      <c r="B2" s="3" t="s">
        <v>1</v>
      </c>
      <c r="C2" s="51" t="s">
        <v>41</v>
      </c>
      <c r="D2" s="51" t="s">
        <v>42</v>
      </c>
      <c r="E2" s="51" t="s">
        <v>43</v>
      </c>
      <c r="F2" s="51" t="s">
        <v>44</v>
      </c>
      <c r="G2" s="51" t="s">
        <v>45</v>
      </c>
      <c r="H2" s="51" t="s">
        <v>46</v>
      </c>
      <c r="I2" s="51" t="s">
        <v>47</v>
      </c>
      <c r="J2" s="51" t="s">
        <v>48</v>
      </c>
      <c r="K2" s="51" t="s">
        <v>49</v>
      </c>
      <c r="L2" s="51" t="s">
        <v>50</v>
      </c>
      <c r="M2" s="51" t="s">
        <v>51</v>
      </c>
    </row>
    <row r="3">
      <c r="B3" s="52" t="s">
        <v>52</v>
      </c>
      <c r="C3" s="53">
        <v>10000.0</v>
      </c>
      <c r="D3" s="53">
        <v>20000.0</v>
      </c>
      <c r="E3" s="53">
        <v>30000.0</v>
      </c>
      <c r="F3" s="53">
        <v>40000.0</v>
      </c>
      <c r="G3" s="53">
        <v>50000.0</v>
      </c>
      <c r="H3" s="53">
        <v>60000.0</v>
      </c>
      <c r="I3" s="53">
        <v>70000.0</v>
      </c>
      <c r="J3" s="53">
        <v>80000.0</v>
      </c>
      <c r="K3" s="53">
        <v>90000.0</v>
      </c>
      <c r="L3" s="53">
        <v>100000.0</v>
      </c>
      <c r="M3" s="53">
        <v>100000.0</v>
      </c>
    </row>
    <row r="4">
      <c r="B4" s="54" t="s">
        <v>53</v>
      </c>
      <c r="C4" s="55">
        <f>'School Assumptions'!$B$2</f>
        <v>10474</v>
      </c>
      <c r="D4" s="55">
        <f>'School Assumptions'!$B$2</f>
        <v>10474</v>
      </c>
      <c r="E4" s="55">
        <f>'School Assumptions'!$B$2</f>
        <v>10474</v>
      </c>
      <c r="F4" s="55">
        <f>'School Assumptions'!$B$2</f>
        <v>10474</v>
      </c>
      <c r="G4" s="55">
        <f>'School Assumptions'!$B$2</f>
        <v>10474</v>
      </c>
      <c r="H4" s="55">
        <f>'School Assumptions'!$B$2</f>
        <v>10474</v>
      </c>
      <c r="I4" s="55">
        <f>'School Assumptions'!$B$2</f>
        <v>10474</v>
      </c>
      <c r="J4" s="55">
        <f>'School Assumptions'!$B$2</f>
        <v>10474</v>
      </c>
      <c r="K4" s="55">
        <f>'School Assumptions'!$B$2</f>
        <v>10474</v>
      </c>
      <c r="L4" s="55">
        <f>'School Assumptions'!$B$2</f>
        <v>10474</v>
      </c>
      <c r="M4" s="55">
        <f>'School Assumptions'!$B$2</f>
        <v>10474</v>
      </c>
    </row>
    <row r="5">
      <c r="B5" s="56" t="s">
        <v>54</v>
      </c>
      <c r="C5" s="57">
        <f>'School Assumptions'!$B$9</f>
        <v>0.075</v>
      </c>
      <c r="D5" s="57">
        <f>'School Assumptions'!$B$9</f>
        <v>0.075</v>
      </c>
      <c r="E5" s="57">
        <f>'School Assumptions'!$B$9</f>
        <v>0.075</v>
      </c>
      <c r="F5" s="57">
        <f>'School Assumptions'!$B$9</f>
        <v>0.075</v>
      </c>
      <c r="G5" s="57">
        <f>'School Assumptions'!$B$9</f>
        <v>0.075</v>
      </c>
      <c r="H5" s="57">
        <f>'School Assumptions'!$B$9</f>
        <v>0.075</v>
      </c>
      <c r="I5" s="57">
        <f>'School Assumptions'!$B$9</f>
        <v>0.075</v>
      </c>
      <c r="J5" s="57">
        <f>'School Assumptions'!$B$9</f>
        <v>0.075</v>
      </c>
      <c r="K5" s="57">
        <f>'School Assumptions'!$B$9</f>
        <v>0.075</v>
      </c>
      <c r="L5" s="57">
        <f>'School Assumptions'!$B$9</f>
        <v>0.075</v>
      </c>
      <c r="M5" s="57">
        <f>'School Assumptions'!$B$9</f>
        <v>0.075</v>
      </c>
    </row>
    <row r="6">
      <c r="B6" s="58" t="s">
        <v>55</v>
      </c>
      <c r="C6" s="59">
        <f>'School Assumptions'!$B$8</f>
        <v>2.5</v>
      </c>
      <c r="D6" s="59">
        <f>'School Assumptions'!$B$8</f>
        <v>2.5</v>
      </c>
      <c r="E6" s="59">
        <f>'School Assumptions'!$B$8</f>
        <v>2.5</v>
      </c>
      <c r="F6" s="59">
        <f>'School Assumptions'!$B$8</f>
        <v>2.5</v>
      </c>
      <c r="G6" s="59">
        <f>'School Assumptions'!$B$8</f>
        <v>2.5</v>
      </c>
      <c r="H6" s="59">
        <f>'School Assumptions'!$B$8</f>
        <v>2.5</v>
      </c>
      <c r="I6" s="59">
        <f>'School Assumptions'!$B$8</f>
        <v>2.5</v>
      </c>
      <c r="J6" s="59">
        <f>'School Assumptions'!$B$8</f>
        <v>2.5</v>
      </c>
      <c r="K6" s="59">
        <f>'School Assumptions'!$B$8</f>
        <v>2.5</v>
      </c>
      <c r="L6" s="59">
        <f>'School Assumptions'!$B$8</f>
        <v>2.5</v>
      </c>
      <c r="M6" s="59">
        <f>'School Assumptions'!$B$8</f>
        <v>2.5</v>
      </c>
    </row>
    <row r="7">
      <c r="B7" s="60" t="s">
        <v>2</v>
      </c>
      <c r="C7" s="61">
        <f t="shared" ref="C7:M7" si="1">C3*C4</f>
        <v>104740000</v>
      </c>
      <c r="D7" s="61">
        <f t="shared" si="1"/>
        <v>209480000</v>
      </c>
      <c r="E7" s="61">
        <f t="shared" si="1"/>
        <v>314220000</v>
      </c>
      <c r="F7" s="61">
        <f t="shared" si="1"/>
        <v>418960000</v>
      </c>
      <c r="G7" s="61">
        <f t="shared" si="1"/>
        <v>523700000</v>
      </c>
      <c r="H7" s="61">
        <f t="shared" si="1"/>
        <v>628440000</v>
      </c>
      <c r="I7" s="61">
        <f t="shared" si="1"/>
        <v>733180000</v>
      </c>
      <c r="J7" s="61">
        <f t="shared" si="1"/>
        <v>837920000</v>
      </c>
      <c r="K7" s="61">
        <f t="shared" si="1"/>
        <v>942660000</v>
      </c>
      <c r="L7" s="61">
        <f t="shared" si="1"/>
        <v>1047400000</v>
      </c>
      <c r="M7" s="61">
        <f t="shared" si="1"/>
        <v>1047400000</v>
      </c>
    </row>
    <row r="9">
      <c r="B9" s="62" t="s">
        <v>56</v>
      </c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</row>
    <row r="10">
      <c r="B10" s="64" t="s">
        <v>57</v>
      </c>
      <c r="C10" s="65">
        <v>0.0</v>
      </c>
      <c r="D10" s="65">
        <f t="shared" ref="D10:M10" si="2">C14</f>
        <v>10000</v>
      </c>
      <c r="E10" s="65">
        <f t="shared" si="2"/>
        <v>20000</v>
      </c>
      <c r="F10" s="65">
        <f t="shared" si="2"/>
        <v>30000</v>
      </c>
      <c r="G10" s="65">
        <f t="shared" si="2"/>
        <v>40000</v>
      </c>
      <c r="H10" s="65">
        <f t="shared" si="2"/>
        <v>50000</v>
      </c>
      <c r="I10" s="65">
        <f t="shared" si="2"/>
        <v>60000</v>
      </c>
      <c r="J10" s="65">
        <f t="shared" si="2"/>
        <v>70000</v>
      </c>
      <c r="K10" s="65">
        <f t="shared" si="2"/>
        <v>80000</v>
      </c>
      <c r="L10" s="65">
        <f t="shared" si="2"/>
        <v>90000</v>
      </c>
      <c r="M10" s="65">
        <f t="shared" si="2"/>
        <v>100000</v>
      </c>
    </row>
    <row r="11">
      <c r="B11" s="52" t="s">
        <v>54</v>
      </c>
      <c r="C11" s="65">
        <f>-(C10*C5)</f>
        <v>0</v>
      </c>
      <c r="D11" s="65">
        <f t="shared" ref="D11:M11" si="3">ROUND(-(D10*D5),0)</f>
        <v>-750</v>
      </c>
      <c r="E11" s="65">
        <f t="shared" si="3"/>
        <v>-1500</v>
      </c>
      <c r="F11" s="65">
        <f t="shared" si="3"/>
        <v>-2250</v>
      </c>
      <c r="G11" s="65">
        <f t="shared" si="3"/>
        <v>-3000</v>
      </c>
      <c r="H11" s="65">
        <f t="shared" si="3"/>
        <v>-3750</v>
      </c>
      <c r="I11" s="65">
        <f t="shared" si="3"/>
        <v>-4500</v>
      </c>
      <c r="J11" s="65">
        <f t="shared" si="3"/>
        <v>-5250</v>
      </c>
      <c r="K11" s="65">
        <f t="shared" si="3"/>
        <v>-6000</v>
      </c>
      <c r="L11" s="65">
        <f t="shared" si="3"/>
        <v>-6750</v>
      </c>
      <c r="M11" s="65">
        <f t="shared" si="3"/>
        <v>-7500</v>
      </c>
    </row>
    <row r="12">
      <c r="B12" s="56" t="s">
        <v>58</v>
      </c>
      <c r="C12" s="66"/>
      <c r="D12" s="67">
        <f>-C14/'School Assumptions'!$B$8</f>
        <v>-4000</v>
      </c>
      <c r="E12" s="67">
        <f>-D14/'School Assumptions'!$B$8</f>
        <v>-8000</v>
      </c>
      <c r="F12" s="67">
        <f>-E14/'School Assumptions'!$B$8</f>
        <v>-12000</v>
      </c>
      <c r="G12" s="67">
        <f>-F14/'School Assumptions'!$B$8</f>
        <v>-16000</v>
      </c>
      <c r="H12" s="67">
        <f>-G14/'School Assumptions'!$B$8</f>
        <v>-20000</v>
      </c>
      <c r="I12" s="67">
        <f>-H14/'School Assumptions'!$B$8</f>
        <v>-24000</v>
      </c>
      <c r="J12" s="67">
        <f>-I14/'School Assumptions'!$B$8</f>
        <v>-28000</v>
      </c>
      <c r="K12" s="67">
        <f>-J14/'School Assumptions'!$B$8</f>
        <v>-32000</v>
      </c>
      <c r="L12" s="67">
        <f>-K14/'School Assumptions'!$B$8</f>
        <v>-36000</v>
      </c>
      <c r="M12" s="67">
        <f>-L14/'School Assumptions'!$B$8</f>
        <v>-40000</v>
      </c>
    </row>
    <row r="13">
      <c r="B13" s="68" t="s">
        <v>59</v>
      </c>
      <c r="C13" s="66">
        <f>C14-(C10+C11)</f>
        <v>10000</v>
      </c>
      <c r="D13" s="66">
        <f t="shared" ref="D13:M13" si="4">D14-(D10+D11+D12)</f>
        <v>14750</v>
      </c>
      <c r="E13" s="66">
        <f t="shared" si="4"/>
        <v>19500</v>
      </c>
      <c r="F13" s="66">
        <f t="shared" si="4"/>
        <v>24250</v>
      </c>
      <c r="G13" s="66">
        <f t="shared" si="4"/>
        <v>29000</v>
      </c>
      <c r="H13" s="66">
        <f t="shared" si="4"/>
        <v>33750</v>
      </c>
      <c r="I13" s="66">
        <f t="shared" si="4"/>
        <v>38500</v>
      </c>
      <c r="J13" s="66">
        <f t="shared" si="4"/>
        <v>43250</v>
      </c>
      <c r="K13" s="66">
        <f t="shared" si="4"/>
        <v>48000</v>
      </c>
      <c r="L13" s="66">
        <f t="shared" si="4"/>
        <v>52750</v>
      </c>
      <c r="M13" s="66">
        <f t="shared" si="4"/>
        <v>47500</v>
      </c>
    </row>
    <row r="14">
      <c r="B14" s="69" t="s">
        <v>60</v>
      </c>
      <c r="C14" s="70">
        <f t="shared" ref="C14:M14" si="5">C3</f>
        <v>10000</v>
      </c>
      <c r="D14" s="70">
        <f t="shared" si="5"/>
        <v>20000</v>
      </c>
      <c r="E14" s="70">
        <f t="shared" si="5"/>
        <v>30000</v>
      </c>
      <c r="F14" s="70">
        <f t="shared" si="5"/>
        <v>40000</v>
      </c>
      <c r="G14" s="70">
        <f t="shared" si="5"/>
        <v>50000</v>
      </c>
      <c r="H14" s="70">
        <f t="shared" si="5"/>
        <v>60000</v>
      </c>
      <c r="I14" s="70">
        <f t="shared" si="5"/>
        <v>70000</v>
      </c>
      <c r="J14" s="70">
        <f t="shared" si="5"/>
        <v>80000</v>
      </c>
      <c r="K14" s="70">
        <f t="shared" si="5"/>
        <v>90000</v>
      </c>
      <c r="L14" s="70">
        <f t="shared" si="5"/>
        <v>100000</v>
      </c>
      <c r="M14" s="70">
        <f t="shared" si="5"/>
        <v>100000</v>
      </c>
    </row>
    <row r="15">
      <c r="B15" s="44"/>
    </row>
    <row r="16">
      <c r="B16" s="44"/>
    </row>
    <row r="17">
      <c r="B17" s="71" t="s">
        <v>61</v>
      </c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2"/>
    </row>
    <row r="18">
      <c r="B18" s="44" t="s">
        <v>62</v>
      </c>
      <c r="C18" s="73">
        <v>3000.0</v>
      </c>
      <c r="D18" s="73">
        <v>3000.0</v>
      </c>
      <c r="E18" s="73">
        <v>3000.0</v>
      </c>
      <c r="F18" s="73">
        <v>3000.0</v>
      </c>
      <c r="G18" s="73">
        <v>3000.0</v>
      </c>
      <c r="H18" s="73">
        <v>3000.0</v>
      </c>
      <c r="I18" s="73">
        <v>3000.0</v>
      </c>
      <c r="J18" s="73">
        <v>3000.0</v>
      </c>
      <c r="K18" s="73">
        <v>3000.0</v>
      </c>
      <c r="L18" s="73">
        <v>3000.0</v>
      </c>
      <c r="M18" s="73">
        <v>3000.0</v>
      </c>
    </row>
    <row r="19">
      <c r="B19" s="44" t="s">
        <v>63</v>
      </c>
      <c r="C19" s="73">
        <v>1000.0</v>
      </c>
      <c r="D19" s="73">
        <v>1000.0</v>
      </c>
      <c r="E19" s="73">
        <v>1000.0</v>
      </c>
      <c r="F19" s="73">
        <v>1000.0</v>
      </c>
      <c r="G19" s="73">
        <v>1000.0</v>
      </c>
      <c r="H19" s="73">
        <v>1000.0</v>
      </c>
      <c r="I19" s="73">
        <v>1000.0</v>
      </c>
      <c r="J19" s="73">
        <v>1000.0</v>
      </c>
      <c r="K19" s="73">
        <v>1000.0</v>
      </c>
      <c r="L19" s="73">
        <v>1000.0</v>
      </c>
      <c r="M19" s="73">
        <v>1000.0</v>
      </c>
    </row>
    <row r="20">
      <c r="B20" s="44" t="s">
        <v>64</v>
      </c>
      <c r="C20" s="73">
        <v>750.0</v>
      </c>
      <c r="D20" s="73">
        <v>750.0</v>
      </c>
      <c r="E20" s="73">
        <v>750.0</v>
      </c>
      <c r="F20" s="73">
        <v>750.0</v>
      </c>
      <c r="G20" s="73">
        <v>750.0</v>
      </c>
      <c r="H20" s="73">
        <v>750.0</v>
      </c>
      <c r="I20" s="73">
        <v>750.0</v>
      </c>
      <c r="J20" s="73">
        <v>750.0</v>
      </c>
      <c r="K20" s="73">
        <v>750.0</v>
      </c>
      <c r="L20" s="73">
        <v>750.0</v>
      </c>
      <c r="M20" s="73">
        <v>750.0</v>
      </c>
    </row>
    <row r="21">
      <c r="B21" s="44" t="s">
        <v>10</v>
      </c>
      <c r="C21" s="73">
        <v>2000.0</v>
      </c>
      <c r="D21" s="73">
        <v>2000.0</v>
      </c>
      <c r="E21" s="73">
        <v>2000.0</v>
      </c>
      <c r="F21" s="73">
        <v>2000.0</v>
      </c>
      <c r="G21" s="73">
        <v>2000.0</v>
      </c>
      <c r="H21" s="73">
        <v>2000.0</v>
      </c>
      <c r="I21" s="73">
        <v>2000.0</v>
      </c>
      <c r="J21" s="73">
        <v>2000.0</v>
      </c>
      <c r="K21" s="73">
        <v>2000.0</v>
      </c>
      <c r="L21" s="73">
        <v>2000.0</v>
      </c>
      <c r="M21" s="73">
        <v>2000.0</v>
      </c>
    </row>
    <row r="22">
      <c r="B22" s="74" t="s">
        <v>65</v>
      </c>
      <c r="C22" s="75">
        <f t="shared" ref="C22:M22" si="6">SUM(C18:C21)</f>
        <v>6750</v>
      </c>
      <c r="D22" s="75">
        <f t="shared" si="6"/>
        <v>6750</v>
      </c>
      <c r="E22" s="75">
        <f t="shared" si="6"/>
        <v>6750</v>
      </c>
      <c r="F22" s="75">
        <f t="shared" si="6"/>
        <v>6750</v>
      </c>
      <c r="G22" s="75">
        <f t="shared" si="6"/>
        <v>6750</v>
      </c>
      <c r="H22" s="75">
        <f t="shared" si="6"/>
        <v>6750</v>
      </c>
      <c r="I22" s="75">
        <f t="shared" si="6"/>
        <v>6750</v>
      </c>
      <c r="J22" s="75">
        <f t="shared" si="6"/>
        <v>6750</v>
      </c>
      <c r="K22" s="75">
        <f t="shared" si="6"/>
        <v>6750</v>
      </c>
      <c r="L22" s="75">
        <f t="shared" si="6"/>
        <v>6750</v>
      </c>
      <c r="M22" s="76">
        <f t="shared" si="6"/>
        <v>6750</v>
      </c>
    </row>
    <row r="23">
      <c r="B23" s="77" t="s">
        <v>66</v>
      </c>
      <c r="C23" s="78">
        <f t="shared" ref="C23:M23" si="7">C22*C14</f>
        <v>67500000</v>
      </c>
      <c r="D23" s="78">
        <f t="shared" si="7"/>
        <v>135000000</v>
      </c>
      <c r="E23" s="78">
        <f t="shared" si="7"/>
        <v>202500000</v>
      </c>
      <c r="F23" s="78">
        <f t="shared" si="7"/>
        <v>270000000</v>
      </c>
      <c r="G23" s="78">
        <f t="shared" si="7"/>
        <v>337500000</v>
      </c>
      <c r="H23" s="78">
        <f t="shared" si="7"/>
        <v>405000000</v>
      </c>
      <c r="I23" s="78">
        <f t="shared" si="7"/>
        <v>472500000</v>
      </c>
      <c r="J23" s="78">
        <f t="shared" si="7"/>
        <v>540000000</v>
      </c>
      <c r="K23" s="78">
        <f t="shared" si="7"/>
        <v>607500000</v>
      </c>
      <c r="L23" s="78">
        <f t="shared" si="7"/>
        <v>675000000</v>
      </c>
      <c r="M23" s="79">
        <f t="shared" si="7"/>
        <v>675000000</v>
      </c>
    </row>
    <row r="24">
      <c r="B24" s="44"/>
      <c r="C24" s="73"/>
      <c r="D24" s="45"/>
      <c r="E24" s="45"/>
      <c r="F24" s="45"/>
      <c r="G24" s="45"/>
      <c r="H24" s="45"/>
      <c r="I24" s="45"/>
      <c r="J24" s="45"/>
      <c r="K24" s="45"/>
      <c r="L24" s="45"/>
      <c r="M24" s="45"/>
    </row>
    <row r="25">
      <c r="B25" s="71" t="s">
        <v>14</v>
      </c>
      <c r="C25" s="80"/>
      <c r="D25" s="80"/>
      <c r="E25" s="80"/>
      <c r="F25" s="80"/>
      <c r="G25" s="80"/>
      <c r="H25" s="80"/>
      <c r="I25" s="80"/>
      <c r="J25" s="80"/>
      <c r="K25" s="80"/>
      <c r="L25" s="80"/>
      <c r="M25" s="80"/>
    </row>
    <row r="26">
      <c r="B26" s="44" t="s">
        <v>67</v>
      </c>
      <c r="C26" s="45">
        <f>C13*'School Assumptions'!$B$5</f>
        <v>5000000</v>
      </c>
      <c r="D26" s="45">
        <f>D13*'School Assumptions'!$B$5</f>
        <v>7375000</v>
      </c>
      <c r="E26" s="45">
        <f>E13*'School Assumptions'!$B$5</f>
        <v>9750000</v>
      </c>
      <c r="F26" s="45">
        <f>F13*'School Assumptions'!$B$5</f>
        <v>12125000</v>
      </c>
      <c r="G26" s="45">
        <f>G13*'School Assumptions'!$B$5</f>
        <v>14500000</v>
      </c>
      <c r="H26" s="45">
        <f>H13*'School Assumptions'!$B$5</f>
        <v>16875000</v>
      </c>
      <c r="I26" s="45">
        <f>I13*'School Assumptions'!$B$5</f>
        <v>19250000</v>
      </c>
      <c r="J26" s="45">
        <f>J13*'School Assumptions'!$B$5</f>
        <v>21625000</v>
      </c>
      <c r="K26" s="45">
        <f>K13*'School Assumptions'!$B$5</f>
        <v>24000000</v>
      </c>
      <c r="L26" s="45">
        <f>L13*'School Assumptions'!$B$5</f>
        <v>26375000</v>
      </c>
      <c r="M26" s="45">
        <f>M13*'School Assumptions'!$B$5</f>
        <v>23750000</v>
      </c>
    </row>
    <row r="27">
      <c r="B27" s="44" t="s">
        <v>68</v>
      </c>
      <c r="C27" s="45">
        <f>C13*'School Assumptions'!$B$6</f>
        <v>20000000</v>
      </c>
      <c r="D27" s="45">
        <f>D13*'School Assumptions'!$B$6</f>
        <v>29500000</v>
      </c>
      <c r="E27" s="45">
        <f>E13*'School Assumptions'!$B$6</f>
        <v>39000000</v>
      </c>
      <c r="F27" s="45">
        <f>F13*'School Assumptions'!$B$6</f>
        <v>48500000</v>
      </c>
      <c r="G27" s="45">
        <f>G13*'School Assumptions'!$B$6</f>
        <v>58000000</v>
      </c>
      <c r="H27" s="45">
        <f>H13*'School Assumptions'!$B$6</f>
        <v>67500000</v>
      </c>
      <c r="I27" s="45">
        <f>I13*'School Assumptions'!$B$6</f>
        <v>77000000</v>
      </c>
      <c r="J27" s="45">
        <f>J13*'School Assumptions'!$B$6</f>
        <v>86500000</v>
      </c>
      <c r="K27" s="45">
        <f>K13*'School Assumptions'!$B$6</f>
        <v>96000000</v>
      </c>
      <c r="L27" s="45">
        <f>L13*'School Assumptions'!$B$6</f>
        <v>105500000</v>
      </c>
      <c r="M27" s="45">
        <f>M13*'School Assumptions'!$B$6</f>
        <v>95000000</v>
      </c>
    </row>
    <row r="28">
      <c r="B28" s="81" t="s">
        <v>17</v>
      </c>
      <c r="C28" s="82">
        <f t="shared" ref="C28:M28" si="8">C26+C27</f>
        <v>25000000</v>
      </c>
      <c r="D28" s="82">
        <f t="shared" si="8"/>
        <v>36875000</v>
      </c>
      <c r="E28" s="82">
        <f t="shared" si="8"/>
        <v>48750000</v>
      </c>
      <c r="F28" s="82">
        <f t="shared" si="8"/>
        <v>60625000</v>
      </c>
      <c r="G28" s="82">
        <f t="shared" si="8"/>
        <v>72500000</v>
      </c>
      <c r="H28" s="82">
        <f t="shared" si="8"/>
        <v>84375000</v>
      </c>
      <c r="I28" s="82">
        <f t="shared" si="8"/>
        <v>96250000</v>
      </c>
      <c r="J28" s="82">
        <f t="shared" si="8"/>
        <v>108125000</v>
      </c>
      <c r="K28" s="82">
        <f t="shared" si="8"/>
        <v>120000000</v>
      </c>
      <c r="L28" s="82">
        <f t="shared" si="8"/>
        <v>131875000</v>
      </c>
      <c r="M28" s="82">
        <f t="shared" si="8"/>
        <v>118750000</v>
      </c>
    </row>
    <row r="29">
      <c r="B29" s="44"/>
      <c r="C29" s="73"/>
      <c r="D29" s="45"/>
      <c r="E29" s="45"/>
      <c r="F29" s="45"/>
      <c r="G29" s="45"/>
      <c r="H29" s="45"/>
      <c r="I29" s="45"/>
      <c r="J29" s="45"/>
      <c r="K29" s="45"/>
      <c r="L29" s="45"/>
      <c r="M29" s="45"/>
    </row>
    <row r="30">
      <c r="B30" s="83" t="s">
        <v>69</v>
      </c>
      <c r="C30" s="84">
        <f t="shared" ref="C30:M30" si="9">C7-C23</f>
        <v>37240000</v>
      </c>
      <c r="D30" s="84">
        <f t="shared" si="9"/>
        <v>74480000</v>
      </c>
      <c r="E30" s="84">
        <f t="shared" si="9"/>
        <v>111720000</v>
      </c>
      <c r="F30" s="84">
        <f t="shared" si="9"/>
        <v>148960000</v>
      </c>
      <c r="G30" s="84">
        <f t="shared" si="9"/>
        <v>186200000</v>
      </c>
      <c r="H30" s="84">
        <f t="shared" si="9"/>
        <v>223440000</v>
      </c>
      <c r="I30" s="84">
        <f t="shared" si="9"/>
        <v>260680000</v>
      </c>
      <c r="J30" s="84">
        <f t="shared" si="9"/>
        <v>297920000</v>
      </c>
      <c r="K30" s="84">
        <f t="shared" si="9"/>
        <v>335160000</v>
      </c>
      <c r="L30" s="84">
        <f t="shared" si="9"/>
        <v>372400000</v>
      </c>
      <c r="M30" s="84">
        <f t="shared" si="9"/>
        <v>372400000</v>
      </c>
    </row>
    <row r="31"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</row>
    <row r="32">
      <c r="B32" s="85" t="s">
        <v>70</v>
      </c>
      <c r="C32" s="86">
        <f t="shared" ref="C32:M32" si="10">C30</f>
        <v>37240000</v>
      </c>
      <c r="D32" s="86">
        <f t="shared" si="10"/>
        <v>74480000</v>
      </c>
      <c r="E32" s="86">
        <f t="shared" si="10"/>
        <v>111720000</v>
      </c>
      <c r="F32" s="86">
        <f t="shared" si="10"/>
        <v>148960000</v>
      </c>
      <c r="G32" s="86">
        <f t="shared" si="10"/>
        <v>186200000</v>
      </c>
      <c r="H32" s="86">
        <f t="shared" si="10"/>
        <v>223440000</v>
      </c>
      <c r="I32" s="86">
        <f t="shared" si="10"/>
        <v>260680000</v>
      </c>
      <c r="J32" s="86">
        <f t="shared" si="10"/>
        <v>297920000</v>
      </c>
      <c r="K32" s="86">
        <f t="shared" si="10"/>
        <v>335160000</v>
      </c>
      <c r="L32" s="86">
        <f t="shared" si="10"/>
        <v>372400000</v>
      </c>
      <c r="M32" s="86">
        <f t="shared" si="10"/>
        <v>372400000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13"/>
    <col customWidth="1" min="13" max="13" width="12.75"/>
  </cols>
  <sheetData>
    <row r="1">
      <c r="B1" s="87" t="s">
        <v>71</v>
      </c>
    </row>
    <row r="2">
      <c r="B2" s="3" t="s">
        <v>1</v>
      </c>
      <c r="C2" s="51" t="s">
        <v>41</v>
      </c>
      <c r="D2" s="51" t="s">
        <v>42</v>
      </c>
      <c r="E2" s="51" t="s">
        <v>43</v>
      </c>
      <c r="F2" s="51" t="s">
        <v>44</v>
      </c>
      <c r="G2" s="51" t="s">
        <v>45</v>
      </c>
      <c r="H2" s="51" t="s">
        <v>46</v>
      </c>
      <c r="I2" s="51" t="s">
        <v>47</v>
      </c>
      <c r="J2" s="51" t="s">
        <v>48</v>
      </c>
      <c r="K2" s="51" t="s">
        <v>49</v>
      </c>
      <c r="L2" s="51" t="s">
        <v>50</v>
      </c>
      <c r="M2" s="51" t="s">
        <v>51</v>
      </c>
    </row>
    <row r="3">
      <c r="B3" s="88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</row>
    <row r="4">
      <c r="B4" s="90" t="s">
        <v>72</v>
      </c>
      <c r="C4" s="91" t="s">
        <v>73</v>
      </c>
      <c r="D4" s="91" t="s">
        <v>74</v>
      </c>
      <c r="E4" s="91" t="s">
        <v>75</v>
      </c>
      <c r="F4" s="91" t="s">
        <v>76</v>
      </c>
      <c r="G4" s="91">
        <f>F4*3</f>
        <v>1620</v>
      </c>
      <c r="H4" s="91">
        <v>4000.0</v>
      </c>
      <c r="I4" s="91" t="s">
        <v>77</v>
      </c>
      <c r="J4" s="91" t="s">
        <v>77</v>
      </c>
      <c r="K4" s="91" t="s">
        <v>77</v>
      </c>
      <c r="L4" s="91" t="s">
        <v>77</v>
      </c>
      <c r="M4" s="91" t="s">
        <v>77</v>
      </c>
    </row>
    <row r="5">
      <c r="B5" s="54" t="s">
        <v>78</v>
      </c>
      <c r="C5" s="65">
        <v>25.0</v>
      </c>
      <c r="D5" s="65">
        <v>25.0</v>
      </c>
      <c r="E5" s="65">
        <v>25.0</v>
      </c>
      <c r="F5" s="65">
        <v>25.0</v>
      </c>
      <c r="G5" s="65">
        <v>25.0</v>
      </c>
      <c r="H5" s="65">
        <v>25.0</v>
      </c>
      <c r="I5" s="65">
        <v>25.0</v>
      </c>
      <c r="J5" s="65">
        <v>25.0</v>
      </c>
      <c r="K5" s="65">
        <v>25.0</v>
      </c>
      <c r="L5" s="65">
        <v>25.0</v>
      </c>
      <c r="M5" s="65">
        <v>25.0</v>
      </c>
    </row>
    <row r="6">
      <c r="B6" s="52" t="s">
        <v>54</v>
      </c>
      <c r="C6" s="92">
        <f>'School Assumptions'!$B$25</f>
        <v>0.075</v>
      </c>
      <c r="D6" s="92">
        <f>'School Assumptions'!$B$25</f>
        <v>0.075</v>
      </c>
      <c r="E6" s="92">
        <f>'School Assumptions'!$B$25</f>
        <v>0.075</v>
      </c>
      <c r="F6" s="92">
        <f>'School Assumptions'!$B$25</f>
        <v>0.075</v>
      </c>
      <c r="G6" s="92">
        <f>'School Assumptions'!$B$25</f>
        <v>0.075</v>
      </c>
      <c r="H6" s="92">
        <f>'School Assumptions'!$B$25</f>
        <v>0.075</v>
      </c>
      <c r="I6" s="92">
        <f>'School Assumptions'!$B$25</f>
        <v>0.075</v>
      </c>
      <c r="J6" s="92">
        <f>'School Assumptions'!$B$25</f>
        <v>0.075</v>
      </c>
      <c r="K6" s="92">
        <f>'School Assumptions'!$B$25</f>
        <v>0.075</v>
      </c>
      <c r="L6" s="92">
        <f>'School Assumptions'!$B$25</f>
        <v>0.075</v>
      </c>
      <c r="M6" s="92">
        <f>'School Assumptions'!$B$25</f>
        <v>0.075</v>
      </c>
    </row>
    <row r="7">
      <c r="B7" s="52" t="s">
        <v>55</v>
      </c>
      <c r="C7" s="93">
        <f>'School Assumptions'!$B$24</f>
        <v>2.5</v>
      </c>
      <c r="D7" s="93">
        <f>'School Assumptions'!$B$24</f>
        <v>2.5</v>
      </c>
      <c r="E7" s="93">
        <f>'School Assumptions'!$B$24</f>
        <v>2.5</v>
      </c>
      <c r="F7" s="93">
        <f>'School Assumptions'!$B$24</f>
        <v>2.5</v>
      </c>
      <c r="G7" s="93">
        <f>'School Assumptions'!$B$24</f>
        <v>2.5</v>
      </c>
      <c r="H7" s="93">
        <f>'School Assumptions'!$B$24</f>
        <v>2.5</v>
      </c>
      <c r="I7" s="93">
        <f>'School Assumptions'!$B$24</f>
        <v>2.5</v>
      </c>
      <c r="J7" s="93">
        <f>'School Assumptions'!$B$24</f>
        <v>2.5</v>
      </c>
      <c r="K7" s="93">
        <f>'School Assumptions'!$B$24</f>
        <v>2.5</v>
      </c>
      <c r="L7" s="93">
        <f>'School Assumptions'!$B$24</f>
        <v>2.5</v>
      </c>
      <c r="M7" s="93">
        <f>'School Assumptions'!$B$24</f>
        <v>2.5</v>
      </c>
    </row>
    <row r="8">
      <c r="B8" s="94"/>
      <c r="C8" s="95"/>
      <c r="D8" s="95"/>
      <c r="E8" s="95"/>
      <c r="F8" s="95"/>
      <c r="G8" s="95"/>
      <c r="H8" s="95"/>
      <c r="I8" s="95"/>
      <c r="J8" s="95"/>
      <c r="K8" s="95"/>
      <c r="L8" s="95"/>
      <c r="M8" s="95"/>
    </row>
    <row r="9">
      <c r="B9" s="96" t="s">
        <v>79</v>
      </c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</row>
    <row r="10">
      <c r="B10" s="98" t="s">
        <v>53</v>
      </c>
      <c r="C10" s="99">
        <v>15000.0</v>
      </c>
      <c r="D10" s="99">
        <v>15000.0</v>
      </c>
      <c r="E10" s="99">
        <v>15000.0</v>
      </c>
      <c r="F10" s="99">
        <v>15000.0</v>
      </c>
      <c r="G10" s="99">
        <v>15000.0</v>
      </c>
      <c r="H10" s="99">
        <v>15000.0</v>
      </c>
      <c r="I10" s="99">
        <v>15000.0</v>
      </c>
      <c r="J10" s="99">
        <v>15000.0</v>
      </c>
      <c r="K10" s="99">
        <v>15000.0</v>
      </c>
      <c r="L10" s="99">
        <v>15000.0</v>
      </c>
      <c r="M10" s="99">
        <v>15000.0</v>
      </c>
    </row>
    <row r="11">
      <c r="B11" s="52" t="s">
        <v>80</v>
      </c>
      <c r="C11" s="55">
        <v>3750.0</v>
      </c>
      <c r="D11" s="55">
        <v>3750.0</v>
      </c>
      <c r="E11" s="55">
        <v>3750.0</v>
      </c>
      <c r="F11" s="55">
        <v>3750.0</v>
      </c>
      <c r="G11" s="55">
        <v>3750.0</v>
      </c>
      <c r="H11" s="55">
        <v>3750.0</v>
      </c>
      <c r="I11" s="55">
        <v>3750.0</v>
      </c>
      <c r="J11" s="55">
        <v>3750.0</v>
      </c>
      <c r="K11" s="55">
        <v>3750.0</v>
      </c>
      <c r="L11" s="55">
        <v>3750.0</v>
      </c>
      <c r="M11" s="55">
        <v>3750.0</v>
      </c>
    </row>
    <row r="12">
      <c r="B12" s="54" t="s">
        <v>81</v>
      </c>
      <c r="C12" s="55">
        <v>2500.0</v>
      </c>
      <c r="D12" s="55">
        <v>2500.0</v>
      </c>
      <c r="E12" s="55">
        <v>2500.0</v>
      </c>
      <c r="F12" s="55">
        <v>2500.0</v>
      </c>
      <c r="G12" s="55">
        <v>2500.0</v>
      </c>
      <c r="H12" s="55">
        <v>2500.0</v>
      </c>
      <c r="I12" s="55">
        <v>2500.0</v>
      </c>
      <c r="J12" s="55">
        <v>2500.0</v>
      </c>
      <c r="K12" s="55">
        <v>2500.0</v>
      </c>
      <c r="L12" s="55">
        <v>2500.0</v>
      </c>
      <c r="M12" s="55">
        <v>2500.0</v>
      </c>
    </row>
    <row r="13">
      <c r="B13" s="54" t="s">
        <v>82</v>
      </c>
      <c r="C13" s="95">
        <v>1000.0</v>
      </c>
      <c r="D13" s="95">
        <v>1000.0</v>
      </c>
      <c r="E13" s="95">
        <v>1000.0</v>
      </c>
      <c r="F13" s="95">
        <v>1000.0</v>
      </c>
      <c r="G13" s="95">
        <v>1000.0</v>
      </c>
      <c r="H13" s="95">
        <v>1000.0</v>
      </c>
      <c r="I13" s="95">
        <v>1000.0</v>
      </c>
      <c r="J13" s="95">
        <v>1000.0</v>
      </c>
      <c r="K13" s="95">
        <v>1000.0</v>
      </c>
      <c r="L13" s="95">
        <v>1000.0</v>
      </c>
      <c r="M13" s="95">
        <v>1000.0</v>
      </c>
    </row>
    <row r="14">
      <c r="B14" s="54" t="s">
        <v>83</v>
      </c>
      <c r="C14" s="95">
        <v>1250.0</v>
      </c>
      <c r="D14" s="95">
        <v>1250.0</v>
      </c>
      <c r="E14" s="95">
        <v>1250.0</v>
      </c>
      <c r="F14" s="95">
        <v>1250.0</v>
      </c>
      <c r="G14" s="95">
        <v>1250.0</v>
      </c>
      <c r="H14" s="95">
        <v>1250.0</v>
      </c>
      <c r="I14" s="95">
        <v>1250.0</v>
      </c>
      <c r="J14" s="95">
        <v>1250.0</v>
      </c>
      <c r="K14" s="95">
        <v>1250.0</v>
      </c>
      <c r="L14" s="95">
        <v>1250.0</v>
      </c>
      <c r="M14" s="95">
        <v>1250.0</v>
      </c>
    </row>
    <row r="15">
      <c r="B15" s="52" t="s">
        <v>10</v>
      </c>
      <c r="C15" s="55">
        <v>3000.0</v>
      </c>
      <c r="D15" s="55">
        <v>3000.0</v>
      </c>
      <c r="E15" s="55">
        <v>3000.0</v>
      </c>
      <c r="F15" s="55">
        <v>3000.0</v>
      </c>
      <c r="G15" s="55">
        <v>3000.0</v>
      </c>
      <c r="H15" s="55">
        <v>3000.0</v>
      </c>
      <c r="I15" s="55">
        <v>3000.0</v>
      </c>
      <c r="J15" s="55">
        <v>3000.0</v>
      </c>
      <c r="K15" s="55">
        <v>3000.0</v>
      </c>
      <c r="L15" s="55">
        <v>3000.0</v>
      </c>
      <c r="M15" s="55">
        <v>3000.0</v>
      </c>
    </row>
    <row r="16">
      <c r="B16" s="100" t="s">
        <v>84</v>
      </c>
      <c r="C16" s="101">
        <f t="shared" ref="C16:M16" si="1">SUM(C11:C15)</f>
        <v>11500</v>
      </c>
      <c r="D16" s="101">
        <f t="shared" si="1"/>
        <v>11500</v>
      </c>
      <c r="E16" s="101">
        <f t="shared" si="1"/>
        <v>11500</v>
      </c>
      <c r="F16" s="101">
        <f t="shared" si="1"/>
        <v>11500</v>
      </c>
      <c r="G16" s="101">
        <f t="shared" si="1"/>
        <v>11500</v>
      </c>
      <c r="H16" s="101">
        <f t="shared" si="1"/>
        <v>11500</v>
      </c>
      <c r="I16" s="101">
        <f t="shared" si="1"/>
        <v>11500</v>
      </c>
      <c r="J16" s="101">
        <f t="shared" si="1"/>
        <v>11500</v>
      </c>
      <c r="K16" s="101">
        <f t="shared" si="1"/>
        <v>11500</v>
      </c>
      <c r="L16" s="101">
        <f t="shared" si="1"/>
        <v>11500</v>
      </c>
      <c r="M16" s="101">
        <f t="shared" si="1"/>
        <v>11500</v>
      </c>
    </row>
    <row r="17">
      <c r="B17" s="102"/>
      <c r="C17" s="103"/>
      <c r="D17" s="103"/>
      <c r="E17" s="103"/>
      <c r="F17" s="103"/>
      <c r="G17" s="103"/>
      <c r="H17" s="103"/>
      <c r="I17" s="103"/>
      <c r="J17" s="103"/>
      <c r="K17" s="103"/>
      <c r="L17" s="103"/>
      <c r="M17" s="103"/>
    </row>
    <row r="18">
      <c r="B18" s="104" t="s">
        <v>85</v>
      </c>
      <c r="C18" s="105">
        <f t="shared" ref="C18:M18" si="2">C10-C16</f>
        <v>3500</v>
      </c>
      <c r="D18" s="105">
        <f t="shared" si="2"/>
        <v>3500</v>
      </c>
      <c r="E18" s="105">
        <f t="shared" si="2"/>
        <v>3500</v>
      </c>
      <c r="F18" s="105">
        <f t="shared" si="2"/>
        <v>3500</v>
      </c>
      <c r="G18" s="105">
        <f t="shared" si="2"/>
        <v>3500</v>
      </c>
      <c r="H18" s="105">
        <f t="shared" si="2"/>
        <v>3500</v>
      </c>
      <c r="I18" s="105">
        <f t="shared" si="2"/>
        <v>3500</v>
      </c>
      <c r="J18" s="105">
        <f t="shared" si="2"/>
        <v>3500</v>
      </c>
      <c r="K18" s="105">
        <f t="shared" si="2"/>
        <v>3500</v>
      </c>
      <c r="L18" s="105">
        <f t="shared" si="2"/>
        <v>3500</v>
      </c>
      <c r="M18" s="105">
        <f t="shared" si="2"/>
        <v>3500</v>
      </c>
    </row>
    <row r="19">
      <c r="B19" s="52" t="s">
        <v>86</v>
      </c>
      <c r="C19" s="106">
        <f t="shared" ref="C19:M19" si="3">C18/C10</f>
        <v>0.2333333333</v>
      </c>
      <c r="D19" s="106">
        <f t="shared" si="3"/>
        <v>0.2333333333</v>
      </c>
      <c r="E19" s="106">
        <f t="shared" si="3"/>
        <v>0.2333333333</v>
      </c>
      <c r="F19" s="106">
        <f t="shared" si="3"/>
        <v>0.2333333333</v>
      </c>
      <c r="G19" s="106">
        <f t="shared" si="3"/>
        <v>0.2333333333</v>
      </c>
      <c r="H19" s="106">
        <f t="shared" si="3"/>
        <v>0.2333333333</v>
      </c>
      <c r="I19" s="106">
        <f t="shared" si="3"/>
        <v>0.2333333333</v>
      </c>
      <c r="J19" s="106">
        <f t="shared" si="3"/>
        <v>0.2333333333</v>
      </c>
      <c r="K19" s="106">
        <f t="shared" si="3"/>
        <v>0.2333333333</v>
      </c>
      <c r="L19" s="106">
        <f t="shared" si="3"/>
        <v>0.2333333333</v>
      </c>
      <c r="M19" s="106">
        <f t="shared" si="3"/>
        <v>0.2333333333</v>
      </c>
    </row>
    <row r="20">
      <c r="B20" s="107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</row>
    <row r="21">
      <c r="B21" s="109" t="s">
        <v>87</v>
      </c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</row>
    <row r="22">
      <c r="B22" s="110" t="s">
        <v>88</v>
      </c>
      <c r="C22" s="53">
        <v>6.0</v>
      </c>
      <c r="D22" s="65" t="str">
        <f t="shared" ref="D22:M22" si="4">C24</f>
        <v>20</v>
      </c>
      <c r="E22" s="65" t="str">
        <f t="shared" si="4"/>
        <v>60</v>
      </c>
      <c r="F22" s="65" t="str">
        <f t="shared" si="4"/>
        <v>180</v>
      </c>
      <c r="G22" s="65" t="str">
        <f t="shared" si="4"/>
        <v>540</v>
      </c>
      <c r="H22" s="65">
        <f t="shared" si="4"/>
        <v>1620</v>
      </c>
      <c r="I22" s="65">
        <f t="shared" si="4"/>
        <v>4000</v>
      </c>
      <c r="J22" s="65" t="str">
        <f t="shared" si="4"/>
        <v>4,000</v>
      </c>
      <c r="K22" s="65" t="str">
        <f t="shared" si="4"/>
        <v>4,000</v>
      </c>
      <c r="L22" s="65" t="str">
        <f t="shared" si="4"/>
        <v>4,000</v>
      </c>
      <c r="M22" s="65" t="str">
        <f t="shared" si="4"/>
        <v>4,000</v>
      </c>
    </row>
    <row r="23">
      <c r="B23" s="111" t="s">
        <v>89</v>
      </c>
      <c r="C23" s="65">
        <f t="shared" ref="C23:M23" si="5">C4-C22</f>
        <v>14</v>
      </c>
      <c r="D23" s="65">
        <f t="shared" si="5"/>
        <v>40</v>
      </c>
      <c r="E23" s="65">
        <f t="shared" si="5"/>
        <v>120</v>
      </c>
      <c r="F23" s="65">
        <f t="shared" si="5"/>
        <v>360</v>
      </c>
      <c r="G23" s="65">
        <f t="shared" si="5"/>
        <v>1080</v>
      </c>
      <c r="H23" s="65">
        <f t="shared" si="5"/>
        <v>2380</v>
      </c>
      <c r="I23" s="65">
        <f t="shared" si="5"/>
        <v>0</v>
      </c>
      <c r="J23" s="65">
        <f t="shared" si="5"/>
        <v>0</v>
      </c>
      <c r="K23" s="65">
        <f t="shared" si="5"/>
        <v>0</v>
      </c>
      <c r="L23" s="65">
        <f t="shared" si="5"/>
        <v>0</v>
      </c>
      <c r="M23" s="65">
        <f t="shared" si="5"/>
        <v>0</v>
      </c>
    </row>
    <row r="24">
      <c r="B24" s="52" t="s">
        <v>90</v>
      </c>
      <c r="C24" s="65" t="str">
        <f t="shared" ref="C24:M24" si="6">C4</f>
        <v>20</v>
      </c>
      <c r="D24" s="65" t="str">
        <f t="shared" si="6"/>
        <v>60</v>
      </c>
      <c r="E24" s="65" t="str">
        <f t="shared" si="6"/>
        <v>180</v>
      </c>
      <c r="F24" s="65" t="str">
        <f t="shared" si="6"/>
        <v>540</v>
      </c>
      <c r="G24" s="65">
        <f t="shared" si="6"/>
        <v>1620</v>
      </c>
      <c r="H24" s="65">
        <f t="shared" si="6"/>
        <v>4000</v>
      </c>
      <c r="I24" s="65" t="str">
        <f t="shared" si="6"/>
        <v>4,000</v>
      </c>
      <c r="J24" s="65" t="str">
        <f t="shared" si="6"/>
        <v>4,000</v>
      </c>
      <c r="K24" s="65" t="str">
        <f t="shared" si="6"/>
        <v>4,000</v>
      </c>
      <c r="L24" s="65" t="str">
        <f t="shared" si="6"/>
        <v>4,000</v>
      </c>
      <c r="M24" s="65" t="str">
        <f t="shared" si="6"/>
        <v>4,000</v>
      </c>
    </row>
    <row r="25">
      <c r="B25" s="107"/>
      <c r="C25" s="108"/>
      <c r="D25" s="108"/>
      <c r="E25" s="108"/>
      <c r="F25" s="108"/>
      <c r="G25" s="108"/>
      <c r="H25" s="108"/>
      <c r="I25" s="108"/>
      <c r="J25" s="108"/>
      <c r="K25" s="108"/>
      <c r="L25" s="108"/>
      <c r="M25" s="108"/>
    </row>
    <row r="26">
      <c r="B26" s="62" t="s">
        <v>56</v>
      </c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</row>
    <row r="27">
      <c r="B27" s="64" t="s">
        <v>57</v>
      </c>
      <c r="C27" s="53">
        <v>150.0</v>
      </c>
      <c r="D27" s="65">
        <f t="shared" ref="D27:M27" si="7">C31</f>
        <v>395</v>
      </c>
      <c r="E27" s="65">
        <f t="shared" si="7"/>
        <v>1200</v>
      </c>
      <c r="F27" s="65">
        <f t="shared" si="7"/>
        <v>3600</v>
      </c>
      <c r="G27" s="65">
        <f t="shared" si="7"/>
        <v>10800</v>
      </c>
      <c r="H27" s="65">
        <f t="shared" si="7"/>
        <v>32400</v>
      </c>
      <c r="I27" s="65">
        <f t="shared" si="7"/>
        <v>82150</v>
      </c>
      <c r="J27" s="65">
        <f t="shared" si="7"/>
        <v>100000</v>
      </c>
      <c r="K27" s="65">
        <f t="shared" si="7"/>
        <v>100000</v>
      </c>
      <c r="L27" s="65">
        <f t="shared" si="7"/>
        <v>100000</v>
      </c>
      <c r="M27" s="65">
        <f t="shared" si="7"/>
        <v>100000</v>
      </c>
    </row>
    <row r="28">
      <c r="B28" s="52" t="s">
        <v>54</v>
      </c>
      <c r="C28" s="65">
        <f t="shared" ref="C28:M28" si="8">ROUND(-C27*$C6,0)</f>
        <v>-11</v>
      </c>
      <c r="D28" s="65">
        <f t="shared" si="8"/>
        <v>-30</v>
      </c>
      <c r="E28" s="65">
        <f t="shared" si="8"/>
        <v>-90</v>
      </c>
      <c r="F28" s="65">
        <f t="shared" si="8"/>
        <v>-270</v>
      </c>
      <c r="G28" s="65">
        <f t="shared" si="8"/>
        <v>-810</v>
      </c>
      <c r="H28" s="65">
        <f t="shared" si="8"/>
        <v>-2430</v>
      </c>
      <c r="I28" s="65">
        <f t="shared" si="8"/>
        <v>-6161</v>
      </c>
      <c r="J28" s="65">
        <f t="shared" si="8"/>
        <v>-7500</v>
      </c>
      <c r="K28" s="65">
        <f t="shared" si="8"/>
        <v>-7500</v>
      </c>
      <c r="L28" s="65">
        <f t="shared" si="8"/>
        <v>-7500</v>
      </c>
      <c r="M28" s="65">
        <f t="shared" si="8"/>
        <v>-7500</v>
      </c>
    </row>
    <row r="29">
      <c r="B29" s="56" t="s">
        <v>58</v>
      </c>
      <c r="C29" s="66"/>
      <c r="D29" s="112">
        <f>ROUND(-C31/'School Assumptions'!$B$24,0)</f>
        <v>-158</v>
      </c>
      <c r="E29" s="112">
        <f>ROUND(-D31/'School Assumptions'!$B$24,0)</f>
        <v>-480</v>
      </c>
      <c r="F29" s="112">
        <f>ROUND(-E31/'School Assumptions'!$B$24,0)</f>
        <v>-1440</v>
      </c>
      <c r="G29" s="112">
        <f>ROUND(-F31/'School Assumptions'!$B$24,0)</f>
        <v>-4320</v>
      </c>
      <c r="H29" s="112">
        <f>ROUND(-G31/'School Assumptions'!$B$24,0)</f>
        <v>-12960</v>
      </c>
      <c r="I29" s="112">
        <f>ROUND(-H31/'School Assumptions'!$B$24,0)</f>
        <v>-32860</v>
      </c>
      <c r="J29" s="112">
        <f>ROUND(-I31/'School Assumptions'!$B$24,0)</f>
        <v>-40000</v>
      </c>
      <c r="K29" s="112">
        <f>ROUND(-J31/'School Assumptions'!$B$24,0)</f>
        <v>-40000</v>
      </c>
      <c r="L29" s="112">
        <f>ROUND(-K31/'School Assumptions'!$B$24,0)</f>
        <v>-40000</v>
      </c>
      <c r="M29" s="112">
        <f>ROUND(-L31/'School Assumptions'!$B$24,0)</f>
        <v>-40000</v>
      </c>
    </row>
    <row r="30">
      <c r="B30" s="68" t="s">
        <v>59</v>
      </c>
      <c r="C30" s="66">
        <f>C31-(C27+C28)</f>
        <v>256</v>
      </c>
      <c r="D30" s="66">
        <f t="shared" ref="D30:M30" si="9">D31-(D27+D28+D29)</f>
        <v>993</v>
      </c>
      <c r="E30" s="66">
        <f t="shared" si="9"/>
        <v>2970</v>
      </c>
      <c r="F30" s="66">
        <f t="shared" si="9"/>
        <v>8910</v>
      </c>
      <c r="G30" s="66">
        <f t="shared" si="9"/>
        <v>26730</v>
      </c>
      <c r="H30" s="66">
        <f t="shared" si="9"/>
        <v>65140</v>
      </c>
      <c r="I30" s="66">
        <f t="shared" si="9"/>
        <v>56871</v>
      </c>
      <c r="J30" s="66">
        <f t="shared" si="9"/>
        <v>47500</v>
      </c>
      <c r="K30" s="66">
        <f t="shared" si="9"/>
        <v>47500</v>
      </c>
      <c r="L30" s="66">
        <f t="shared" si="9"/>
        <v>47500</v>
      </c>
      <c r="M30" s="66">
        <f t="shared" si="9"/>
        <v>47500</v>
      </c>
    </row>
    <row r="31">
      <c r="B31" s="69" t="s">
        <v>60</v>
      </c>
      <c r="C31" s="70">
        <f>(C22*C5)+(C23*'School Assumptions'!$B$21*C5)</f>
        <v>395</v>
      </c>
      <c r="D31" s="70">
        <f>(D22*D5)+(D23*'School Assumptions'!$B$21*D5)</f>
        <v>1200</v>
      </c>
      <c r="E31" s="70">
        <f>(E22*E5)+(E23*'School Assumptions'!$B$21*E5)</f>
        <v>3600</v>
      </c>
      <c r="F31" s="70">
        <f>(F22*F5)+(F23*'School Assumptions'!$B$21*F5)</f>
        <v>10800</v>
      </c>
      <c r="G31" s="70">
        <f>(G22*G5)+(G23*'School Assumptions'!$B$21*G5)</f>
        <v>32400</v>
      </c>
      <c r="H31" s="70">
        <f>(H22*H5)+(H23*'School Assumptions'!$B$21*H5)</f>
        <v>82150</v>
      </c>
      <c r="I31" s="70">
        <f>(I22*I5)+(I23*'School Assumptions'!$B$21*I5)</f>
        <v>100000</v>
      </c>
      <c r="J31" s="70">
        <f>(J22*J5)+(J23*'School Assumptions'!$B$21*J5)</f>
        <v>100000</v>
      </c>
      <c r="K31" s="70">
        <f>(K22*K5)+(K23*'School Assumptions'!$B$21*K5)</f>
        <v>100000</v>
      </c>
      <c r="L31" s="70">
        <f>(L22*L5)+(L23*'School Assumptions'!$B$21*L5)</f>
        <v>100000</v>
      </c>
      <c r="M31" s="70">
        <f>(M22*M5)+(M23*'School Assumptions'!$B$21*M5)</f>
        <v>100000</v>
      </c>
    </row>
    <row r="32">
      <c r="B32" s="102"/>
      <c r="C32" s="103"/>
      <c r="D32" s="103"/>
      <c r="E32" s="103"/>
      <c r="F32" s="103"/>
      <c r="G32" s="103"/>
      <c r="H32" s="103"/>
      <c r="I32" s="103"/>
      <c r="J32" s="103"/>
      <c r="K32" s="103"/>
      <c r="L32" s="103"/>
      <c r="M32" s="103"/>
    </row>
    <row r="33">
      <c r="B33" s="113" t="s">
        <v>2</v>
      </c>
      <c r="C33" s="114">
        <f t="shared" ref="C33:M33" si="10">C31*C10</f>
        <v>5925000</v>
      </c>
      <c r="D33" s="114">
        <f t="shared" si="10"/>
        <v>18000000</v>
      </c>
      <c r="E33" s="114">
        <f t="shared" si="10"/>
        <v>54000000</v>
      </c>
      <c r="F33" s="114">
        <f t="shared" si="10"/>
        <v>162000000</v>
      </c>
      <c r="G33" s="114">
        <f t="shared" si="10"/>
        <v>486000000</v>
      </c>
      <c r="H33" s="114">
        <f t="shared" si="10"/>
        <v>1232250000</v>
      </c>
      <c r="I33" s="114">
        <f t="shared" si="10"/>
        <v>1500000000</v>
      </c>
      <c r="J33" s="114">
        <f t="shared" si="10"/>
        <v>1500000000</v>
      </c>
      <c r="K33" s="114">
        <f t="shared" si="10"/>
        <v>1500000000</v>
      </c>
      <c r="L33" s="114">
        <f t="shared" si="10"/>
        <v>1500000000</v>
      </c>
      <c r="M33" s="114">
        <f t="shared" si="10"/>
        <v>1500000000</v>
      </c>
    </row>
    <row r="34">
      <c r="B34" s="115" t="s">
        <v>84</v>
      </c>
      <c r="C34" s="116">
        <f t="shared" ref="C34:M34" si="11">C16*C31</f>
        <v>4542500</v>
      </c>
      <c r="D34" s="116">
        <f t="shared" si="11"/>
        <v>13800000</v>
      </c>
      <c r="E34" s="116">
        <f t="shared" si="11"/>
        <v>41400000</v>
      </c>
      <c r="F34" s="116">
        <f t="shared" si="11"/>
        <v>124200000</v>
      </c>
      <c r="G34" s="116">
        <f t="shared" si="11"/>
        <v>372600000</v>
      </c>
      <c r="H34" s="116">
        <f t="shared" si="11"/>
        <v>944725000</v>
      </c>
      <c r="I34" s="116">
        <f t="shared" si="11"/>
        <v>1150000000</v>
      </c>
      <c r="J34" s="116">
        <f t="shared" si="11"/>
        <v>1150000000</v>
      </c>
      <c r="K34" s="116">
        <f t="shared" si="11"/>
        <v>1150000000</v>
      </c>
      <c r="L34" s="116">
        <f t="shared" si="11"/>
        <v>1150000000</v>
      </c>
      <c r="M34" s="116">
        <f t="shared" si="11"/>
        <v>1150000000</v>
      </c>
    </row>
    <row r="35">
      <c r="B35" s="117" t="s">
        <v>11</v>
      </c>
      <c r="C35" s="118">
        <f t="shared" ref="C35:M35" si="12">C33-C34</f>
        <v>1382500</v>
      </c>
      <c r="D35" s="118">
        <f t="shared" si="12"/>
        <v>4200000</v>
      </c>
      <c r="E35" s="118">
        <f t="shared" si="12"/>
        <v>12600000</v>
      </c>
      <c r="F35" s="118">
        <f t="shared" si="12"/>
        <v>37800000</v>
      </c>
      <c r="G35" s="118">
        <f t="shared" si="12"/>
        <v>113400000</v>
      </c>
      <c r="H35" s="118">
        <f t="shared" si="12"/>
        <v>287525000</v>
      </c>
      <c r="I35" s="118">
        <f t="shared" si="12"/>
        <v>350000000</v>
      </c>
      <c r="J35" s="118">
        <f t="shared" si="12"/>
        <v>350000000</v>
      </c>
      <c r="K35" s="118">
        <f t="shared" si="12"/>
        <v>350000000</v>
      </c>
      <c r="L35" s="118">
        <f t="shared" si="12"/>
        <v>350000000</v>
      </c>
      <c r="M35" s="118">
        <f t="shared" si="12"/>
        <v>350000000</v>
      </c>
    </row>
    <row r="37">
      <c r="B37" s="71" t="s">
        <v>14</v>
      </c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</row>
    <row r="38">
      <c r="B38" s="44" t="s">
        <v>67</v>
      </c>
      <c r="C38" s="45">
        <f>'School Assumptions'!$B$17*C30</f>
        <v>128000</v>
      </c>
      <c r="D38" s="45">
        <f>'School Assumptions'!$B$17*D30</f>
        <v>496500</v>
      </c>
      <c r="E38" s="45">
        <f>'School Assumptions'!$B$17*E30</f>
        <v>1485000</v>
      </c>
      <c r="F38" s="45">
        <f>'School Assumptions'!$B$17*F30</f>
        <v>4455000</v>
      </c>
      <c r="G38" s="45">
        <f>'School Assumptions'!$B$17*G30</f>
        <v>13365000</v>
      </c>
      <c r="H38" s="45">
        <f>'School Assumptions'!$B$17*H30</f>
        <v>32570000</v>
      </c>
      <c r="I38" s="45">
        <f>'School Assumptions'!$B$17*I30</f>
        <v>28435500</v>
      </c>
      <c r="J38" s="45">
        <f>'School Assumptions'!$B$17*J30</f>
        <v>23750000</v>
      </c>
      <c r="K38" s="45">
        <f>'School Assumptions'!$B$17*K30</f>
        <v>23750000</v>
      </c>
      <c r="L38" s="45">
        <f>'School Assumptions'!$B$17*L30</f>
        <v>23750000</v>
      </c>
      <c r="M38" s="45">
        <f>'School Assumptions'!$B$17*M30</f>
        <v>23750000</v>
      </c>
    </row>
    <row r="39">
      <c r="B39" s="44" t="s">
        <v>68</v>
      </c>
      <c r="C39" s="45">
        <f>'School Assumptions'!$B$18*C30</f>
        <v>640000</v>
      </c>
      <c r="D39" s="45">
        <f>'School Assumptions'!$B$18*D30</f>
        <v>2482500</v>
      </c>
      <c r="E39" s="45">
        <f>'School Assumptions'!$B$18*E30</f>
        <v>7425000</v>
      </c>
      <c r="F39" s="45">
        <f>'School Assumptions'!$B$18*F30</f>
        <v>22275000</v>
      </c>
      <c r="G39" s="45">
        <f>'School Assumptions'!$B$18*G30</f>
        <v>66825000</v>
      </c>
      <c r="H39" s="45">
        <f>'School Assumptions'!$B$18*H30</f>
        <v>162850000</v>
      </c>
      <c r="I39" s="45">
        <f>'School Assumptions'!$B$18*I30</f>
        <v>142177500</v>
      </c>
      <c r="J39" s="45">
        <f>'School Assumptions'!$B$18*J30</f>
        <v>118750000</v>
      </c>
      <c r="K39" s="45">
        <f>'School Assumptions'!$B$18*K30</f>
        <v>118750000</v>
      </c>
      <c r="L39" s="45">
        <f>'School Assumptions'!$B$18*L30</f>
        <v>118750000</v>
      </c>
      <c r="M39" s="45">
        <f>'School Assumptions'!$B$18*M30</f>
        <v>118750000</v>
      </c>
    </row>
    <row r="40">
      <c r="B40" s="81" t="s">
        <v>17</v>
      </c>
      <c r="C40" s="82">
        <f t="shared" ref="C40:M40" si="13">C38+C39</f>
        <v>768000</v>
      </c>
      <c r="D40" s="82">
        <f t="shared" si="13"/>
        <v>2979000</v>
      </c>
      <c r="E40" s="82">
        <f t="shared" si="13"/>
        <v>8910000</v>
      </c>
      <c r="F40" s="82">
        <f t="shared" si="13"/>
        <v>26730000</v>
      </c>
      <c r="G40" s="82">
        <f t="shared" si="13"/>
        <v>80190000</v>
      </c>
      <c r="H40" s="82">
        <f t="shared" si="13"/>
        <v>195420000</v>
      </c>
      <c r="I40" s="82">
        <f t="shared" si="13"/>
        <v>170613000</v>
      </c>
      <c r="J40" s="82">
        <f t="shared" si="13"/>
        <v>142500000</v>
      </c>
      <c r="K40" s="82">
        <f t="shared" si="13"/>
        <v>142500000</v>
      </c>
      <c r="L40" s="82">
        <f t="shared" si="13"/>
        <v>142500000</v>
      </c>
      <c r="M40" s="82">
        <f t="shared" si="13"/>
        <v>142500000</v>
      </c>
    </row>
    <row r="42">
      <c r="B42" s="119" t="s">
        <v>18</v>
      </c>
      <c r="C42" s="120">
        <f t="shared" ref="C42:M42" si="14">C35-C40</f>
        <v>614500</v>
      </c>
      <c r="D42" s="120">
        <f t="shared" si="14"/>
        <v>1221000</v>
      </c>
      <c r="E42" s="120">
        <f t="shared" si="14"/>
        <v>3690000</v>
      </c>
      <c r="F42" s="120">
        <f t="shared" si="14"/>
        <v>11070000</v>
      </c>
      <c r="G42" s="120">
        <f t="shared" si="14"/>
        <v>33210000</v>
      </c>
      <c r="H42" s="120">
        <f t="shared" si="14"/>
        <v>92105000</v>
      </c>
      <c r="I42" s="120">
        <f t="shared" si="14"/>
        <v>179387000</v>
      </c>
      <c r="J42" s="120">
        <f t="shared" si="14"/>
        <v>207500000</v>
      </c>
      <c r="K42" s="120">
        <f t="shared" si="14"/>
        <v>207500000</v>
      </c>
      <c r="L42" s="120">
        <f t="shared" si="14"/>
        <v>207500000</v>
      </c>
      <c r="M42" s="120">
        <f t="shared" si="14"/>
        <v>207500000</v>
      </c>
    </row>
    <row r="43">
      <c r="B43" s="43"/>
      <c r="C43" s="121"/>
      <c r="D43" s="121"/>
      <c r="E43" s="121"/>
      <c r="F43" s="121"/>
      <c r="G43" s="121"/>
      <c r="H43" s="121"/>
      <c r="I43" s="121"/>
      <c r="J43" s="121"/>
      <c r="K43" s="121"/>
      <c r="L43" s="121"/>
      <c r="M43" s="121"/>
    </row>
    <row r="44">
      <c r="B44" s="85" t="s">
        <v>70</v>
      </c>
      <c r="C44" s="86">
        <f t="shared" ref="C44:M44" si="15">C35-C40</f>
        <v>614500</v>
      </c>
      <c r="D44" s="86">
        <f t="shared" si="15"/>
        <v>1221000</v>
      </c>
      <c r="E44" s="86">
        <f t="shared" si="15"/>
        <v>3690000</v>
      </c>
      <c r="F44" s="86">
        <f t="shared" si="15"/>
        <v>11070000</v>
      </c>
      <c r="G44" s="86">
        <f t="shared" si="15"/>
        <v>33210000</v>
      </c>
      <c r="H44" s="86">
        <f t="shared" si="15"/>
        <v>92105000</v>
      </c>
      <c r="I44" s="86">
        <f t="shared" si="15"/>
        <v>179387000</v>
      </c>
      <c r="J44" s="86">
        <f t="shared" si="15"/>
        <v>207500000</v>
      </c>
      <c r="K44" s="86">
        <f t="shared" si="15"/>
        <v>207500000</v>
      </c>
      <c r="L44" s="86">
        <f t="shared" si="15"/>
        <v>207500000</v>
      </c>
      <c r="M44" s="86">
        <f t="shared" si="15"/>
        <v>207500000</v>
      </c>
    </row>
  </sheetData>
  <conditionalFormatting sqref="B33:M33 B35:M35">
    <cfRule type="containsBlanks" dxfId="0" priority="1">
      <formula>LEN(TRIM(B33))=0</formula>
    </cfRule>
  </conditionalFormatting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0"/>
    <col customWidth="1" min="2" max="2" width="23.5"/>
  </cols>
  <sheetData>
    <row r="1">
      <c r="B1" s="87" t="s">
        <v>6</v>
      </c>
    </row>
    <row r="2">
      <c r="B2" s="3" t="s">
        <v>1</v>
      </c>
      <c r="C2" s="51" t="s">
        <v>41</v>
      </c>
      <c r="D2" s="51" t="s">
        <v>42</v>
      </c>
      <c r="E2" s="51" t="s">
        <v>43</v>
      </c>
      <c r="F2" s="51" t="s">
        <v>44</v>
      </c>
      <c r="G2" s="51" t="s">
        <v>45</v>
      </c>
      <c r="H2" s="51" t="s">
        <v>46</v>
      </c>
      <c r="I2" s="51" t="s">
        <v>47</v>
      </c>
      <c r="J2" s="51" t="s">
        <v>48</v>
      </c>
      <c r="K2" s="51" t="s">
        <v>49</v>
      </c>
      <c r="L2" s="51" t="s">
        <v>50</v>
      </c>
      <c r="M2" s="51" t="s">
        <v>51</v>
      </c>
    </row>
    <row r="3">
      <c r="B3" s="122" t="s">
        <v>72</v>
      </c>
      <c r="C3" s="123">
        <v>2.0</v>
      </c>
      <c r="D3" s="123">
        <v>10.0</v>
      </c>
      <c r="E3" s="123">
        <v>20.0</v>
      </c>
      <c r="F3" s="123">
        <v>50.0</v>
      </c>
      <c r="G3" s="123">
        <v>100.0</v>
      </c>
      <c r="H3" s="123">
        <v>150.0</v>
      </c>
      <c r="I3" s="123">
        <v>200.0</v>
      </c>
      <c r="J3" s="123">
        <v>250.0</v>
      </c>
      <c r="K3" s="123">
        <v>400.0</v>
      </c>
      <c r="L3" s="123">
        <v>625.0</v>
      </c>
      <c r="M3" s="123">
        <v>800.0</v>
      </c>
    </row>
    <row r="4">
      <c r="B4" s="54" t="s">
        <v>78</v>
      </c>
      <c r="C4" s="53">
        <f>('School Assumptions'!$B$29*'School Assumptions'!$B$46)+('School Assumptions'!$B$39*(1-'School Assumptions'!$B$46))</f>
        <v>700</v>
      </c>
      <c r="D4" s="53">
        <f>('School Assumptions'!$B$29*'School Assumptions'!$B$46)+('School Assumptions'!$B$39*(1-'School Assumptions'!$B$46))</f>
        <v>700</v>
      </c>
      <c r="E4" s="53">
        <f>('School Assumptions'!$B$29*'School Assumptions'!$B$46)+('School Assumptions'!$B$39*(1-'School Assumptions'!$B$46))</f>
        <v>700</v>
      </c>
      <c r="F4" s="53">
        <f>('School Assumptions'!$B$29*'School Assumptions'!$B$46)+('School Assumptions'!$B$39*(1-'School Assumptions'!$B$46))</f>
        <v>700</v>
      </c>
      <c r="G4" s="53">
        <f>('School Assumptions'!$B$29*'School Assumptions'!$B$46)+('School Assumptions'!$B$39*(1-'School Assumptions'!$B$46))</f>
        <v>700</v>
      </c>
      <c r="H4" s="53">
        <f>('School Assumptions'!$B$29*'School Assumptions'!$B$46)+('School Assumptions'!$B$39*(1-'School Assumptions'!$B$46))</f>
        <v>700</v>
      </c>
      <c r="I4" s="53">
        <f>('School Assumptions'!$B$29*'School Assumptions'!$B$46)+('School Assumptions'!$B$39*(1-'School Assumptions'!$B$46))</f>
        <v>700</v>
      </c>
      <c r="J4" s="53">
        <f>('School Assumptions'!$B$29*'School Assumptions'!$B$46)+('School Assumptions'!$B$39*(1-'School Assumptions'!$B$46))</f>
        <v>700</v>
      </c>
      <c r="K4" s="53">
        <f>('School Assumptions'!$B$29*'School Assumptions'!$B$46)+('School Assumptions'!$B$39*(1-'School Assumptions'!$B$46))</f>
        <v>700</v>
      </c>
      <c r="L4" s="53">
        <f>('School Assumptions'!$B$29*'School Assumptions'!$B$46)+('School Assumptions'!$B$39*(1-'School Assumptions'!$B$46))</f>
        <v>700</v>
      </c>
      <c r="M4" s="53">
        <f>('School Assumptions'!$B$29*'School Assumptions'!$B$46)+('School Assumptions'!$B$39*(1-'School Assumptions'!$B$46))</f>
        <v>700</v>
      </c>
    </row>
    <row r="5">
      <c r="B5" s="52" t="s">
        <v>54</v>
      </c>
      <c r="C5" s="124">
        <f>'School Assumptions'!$B$55</f>
        <v>0.075</v>
      </c>
      <c r="D5" s="124">
        <f>'School Assumptions'!$B$55</f>
        <v>0.075</v>
      </c>
      <c r="E5" s="124">
        <f>'School Assumptions'!$B$55</f>
        <v>0.075</v>
      </c>
      <c r="F5" s="124">
        <f>'School Assumptions'!$B$55</f>
        <v>0.075</v>
      </c>
      <c r="G5" s="124">
        <f>'School Assumptions'!$B$55</f>
        <v>0.075</v>
      </c>
      <c r="H5" s="124">
        <f>'School Assumptions'!$B$55</f>
        <v>0.075</v>
      </c>
      <c r="I5" s="124">
        <f>'School Assumptions'!$B$55</f>
        <v>0.075</v>
      </c>
      <c r="J5" s="124">
        <f>'School Assumptions'!$B$55</f>
        <v>0.075</v>
      </c>
      <c r="K5" s="124">
        <f>'School Assumptions'!$B$55</f>
        <v>0.075</v>
      </c>
      <c r="L5" s="124">
        <f>'School Assumptions'!$B$55</f>
        <v>0.075</v>
      </c>
      <c r="M5" s="124">
        <f>'School Assumptions'!$B$55</f>
        <v>0.075</v>
      </c>
    </row>
    <row r="6">
      <c r="B6" s="52" t="s">
        <v>55</v>
      </c>
      <c r="C6" s="125">
        <f>'School Assumptions'!$B$54</f>
        <v>4.5</v>
      </c>
      <c r="D6" s="125">
        <f>'School Assumptions'!$B$54</f>
        <v>4.5</v>
      </c>
      <c r="E6" s="125">
        <f>'School Assumptions'!$B$54</f>
        <v>4.5</v>
      </c>
      <c r="F6" s="125">
        <f>'School Assumptions'!$B$54</f>
        <v>4.5</v>
      </c>
      <c r="G6" s="125">
        <f>'School Assumptions'!$B$54</f>
        <v>4.5</v>
      </c>
      <c r="H6" s="125">
        <f>'School Assumptions'!$B$54</f>
        <v>4.5</v>
      </c>
      <c r="I6" s="125">
        <f>'School Assumptions'!$B$54</f>
        <v>4.5</v>
      </c>
      <c r="J6" s="125">
        <f>'School Assumptions'!$B$54</f>
        <v>4.5</v>
      </c>
      <c r="K6" s="125">
        <f>'School Assumptions'!$B$54</f>
        <v>4.5</v>
      </c>
      <c r="L6" s="125">
        <f>'School Assumptions'!$B$54</f>
        <v>4.5</v>
      </c>
      <c r="M6" s="125">
        <f>'School Assumptions'!$B$54</f>
        <v>4.5</v>
      </c>
    </row>
    <row r="8">
      <c r="B8" s="96" t="s">
        <v>79</v>
      </c>
      <c r="C8" s="97"/>
      <c r="D8" s="97"/>
      <c r="E8" s="97"/>
      <c r="F8" s="97"/>
      <c r="G8" s="97"/>
      <c r="H8" s="97"/>
      <c r="I8" s="97"/>
      <c r="J8" s="97"/>
      <c r="K8" s="97"/>
      <c r="L8" s="97"/>
      <c r="M8" s="97"/>
    </row>
    <row r="9">
      <c r="B9" s="98" t="s">
        <v>53</v>
      </c>
      <c r="C9" s="126">
        <f>('School Assumptions'!$B$35*'School Assumptions'!$B$46)+('School Assumptions'!$B$43*(1-'School Assumptions'!$B$46))</f>
        <v>25000</v>
      </c>
      <c r="D9" s="126">
        <f>('School Assumptions'!$B$35*'School Assumptions'!$B$46)+('School Assumptions'!$B$43*(1-'School Assumptions'!$B$46))</f>
        <v>25000</v>
      </c>
      <c r="E9" s="126">
        <f>('School Assumptions'!$B$35*'School Assumptions'!$B$46)+('School Assumptions'!$B$43*(1-'School Assumptions'!$B$46))</f>
        <v>25000</v>
      </c>
      <c r="F9" s="126">
        <f>('School Assumptions'!$B$35*'School Assumptions'!$B$46)+('School Assumptions'!$B$43*(1-'School Assumptions'!$B$46))</f>
        <v>25000</v>
      </c>
      <c r="G9" s="126">
        <f>('School Assumptions'!$B$35*'School Assumptions'!$B$46)+('School Assumptions'!$B$43*(1-'School Assumptions'!$B$46))</f>
        <v>25000</v>
      </c>
      <c r="H9" s="126">
        <f>('School Assumptions'!$B$35*'School Assumptions'!$B$46)+('School Assumptions'!$B$43*(1-'School Assumptions'!$B$46))</f>
        <v>25000</v>
      </c>
      <c r="I9" s="126">
        <f>('School Assumptions'!$B$35*'School Assumptions'!$B$46)+('School Assumptions'!$B$43*(1-'School Assumptions'!$B$46))</f>
        <v>25000</v>
      </c>
      <c r="J9" s="126">
        <f>('School Assumptions'!$B$35*'School Assumptions'!$B$46)+('School Assumptions'!$B$43*(1-'School Assumptions'!$B$46))</f>
        <v>25000</v>
      </c>
      <c r="K9" s="126">
        <f>('School Assumptions'!$B$35*'School Assumptions'!$B$46)+('School Assumptions'!$B$43*(1-'School Assumptions'!$B$46))</f>
        <v>25000</v>
      </c>
      <c r="L9" s="126">
        <f>('School Assumptions'!$B$35*'School Assumptions'!$B$46)+('School Assumptions'!$B$43*(1-'School Assumptions'!$B$46))</f>
        <v>25000</v>
      </c>
      <c r="M9" s="126">
        <f>('School Assumptions'!$B$35*'School Assumptions'!$B$46)+('School Assumptions'!$B$43*(1-'School Assumptions'!$B$46))</f>
        <v>25000</v>
      </c>
    </row>
    <row r="10">
      <c r="B10" s="52" t="s">
        <v>62</v>
      </c>
      <c r="C10" s="55">
        <f>(('Headcount Assumptions'!$D$11+'Headcount Assumptions'!$D$12)*'School Assumptions'!$B$46)+(('Headcount Assumptions'!$D$27+'Headcount Assumptions'!$D$28)*(1-'School Assumptions'!$B$46))</f>
        <v>5773</v>
      </c>
      <c r="D10" s="55">
        <f>(('Headcount Assumptions'!$D$11+'Headcount Assumptions'!$D$12)*'School Assumptions'!$B$46)+(('Headcount Assumptions'!$D$27+'Headcount Assumptions'!$D$28)*(1-'School Assumptions'!$B$46))</f>
        <v>5773</v>
      </c>
      <c r="E10" s="55">
        <f>(('Headcount Assumptions'!$D$11+'Headcount Assumptions'!$D$12)*'School Assumptions'!$B$46)+(('Headcount Assumptions'!$D$27+'Headcount Assumptions'!$D$28)*(1-'School Assumptions'!$B$46))</f>
        <v>5773</v>
      </c>
      <c r="F10" s="55">
        <f>(('Headcount Assumptions'!$D$11+'Headcount Assumptions'!$D$12)*'School Assumptions'!$B$46)+(('Headcount Assumptions'!$D$27+'Headcount Assumptions'!$D$28)*(1-'School Assumptions'!$B$46))</f>
        <v>5773</v>
      </c>
      <c r="G10" s="55">
        <f>(('Headcount Assumptions'!$D$11+'Headcount Assumptions'!$D$12)*'School Assumptions'!$B$46)+(('Headcount Assumptions'!$D$27+'Headcount Assumptions'!$D$28)*(1-'School Assumptions'!$B$46))</f>
        <v>5773</v>
      </c>
      <c r="H10" s="55">
        <f>(('Headcount Assumptions'!$D$11+'Headcount Assumptions'!$D$12)*'School Assumptions'!$B$46)+(('Headcount Assumptions'!$D$27+'Headcount Assumptions'!$D$28)*(1-'School Assumptions'!$B$46))</f>
        <v>5773</v>
      </c>
      <c r="I10" s="55">
        <f>(('Headcount Assumptions'!$D$11+'Headcount Assumptions'!$D$12)*'School Assumptions'!$B$46)+(('Headcount Assumptions'!$D$27+'Headcount Assumptions'!$D$28)*(1-'School Assumptions'!$B$46))</f>
        <v>5773</v>
      </c>
      <c r="J10" s="55">
        <f>(('Headcount Assumptions'!$D$11+'Headcount Assumptions'!$D$12)*'School Assumptions'!$B$46)+(('Headcount Assumptions'!$D$27+'Headcount Assumptions'!$D$28)*(1-'School Assumptions'!$B$46))</f>
        <v>5773</v>
      </c>
      <c r="K10" s="55">
        <f>(('Headcount Assumptions'!$D$11+'Headcount Assumptions'!$D$12)*'School Assumptions'!$B$46)+(('Headcount Assumptions'!$D$27+'Headcount Assumptions'!$D$28)*(1-'School Assumptions'!$B$46))</f>
        <v>5773</v>
      </c>
      <c r="L10" s="55">
        <f>(('Headcount Assumptions'!$D$11+'Headcount Assumptions'!$D$12)*'School Assumptions'!$B$46)+(('Headcount Assumptions'!$D$27+'Headcount Assumptions'!$D$28)*(1-'School Assumptions'!$B$46))</f>
        <v>5773</v>
      </c>
      <c r="M10" s="55">
        <f>(('Headcount Assumptions'!$D$11+'Headcount Assumptions'!$D$12)*'School Assumptions'!$B$46)+(('Headcount Assumptions'!$D$27+'Headcount Assumptions'!$D$28)*(1-'School Assumptions'!$B$46))</f>
        <v>5773</v>
      </c>
    </row>
    <row r="11">
      <c r="B11" s="52" t="s">
        <v>91</v>
      </c>
      <c r="C11" s="95">
        <f>'Headcount Assumptions'!$D$13+'Headcount Assumptions'!$D$14</f>
        <v>2500</v>
      </c>
      <c r="D11" s="95">
        <f>'Headcount Assumptions'!$D$13+'Headcount Assumptions'!$D$14</f>
        <v>2500</v>
      </c>
      <c r="E11" s="95">
        <f>'Headcount Assumptions'!$D$13+'Headcount Assumptions'!$D$14</f>
        <v>2500</v>
      </c>
      <c r="F11" s="95">
        <f>'Headcount Assumptions'!$D$13+'Headcount Assumptions'!$D$14</f>
        <v>2500</v>
      </c>
      <c r="G11" s="95">
        <f>'Headcount Assumptions'!$D$13+'Headcount Assumptions'!$D$14</f>
        <v>2500</v>
      </c>
      <c r="H11" s="95">
        <f>'Headcount Assumptions'!$D$13+'Headcount Assumptions'!$D$14</f>
        <v>2500</v>
      </c>
      <c r="I11" s="95">
        <f>'Headcount Assumptions'!$D$13+'Headcount Assumptions'!$D$14</f>
        <v>2500</v>
      </c>
      <c r="J11" s="95">
        <f>'Headcount Assumptions'!$D$13+'Headcount Assumptions'!$D$14</f>
        <v>2500</v>
      </c>
      <c r="K11" s="95">
        <f>'Headcount Assumptions'!$D$13+'Headcount Assumptions'!$D$14</f>
        <v>2500</v>
      </c>
      <c r="L11" s="95">
        <f>'Headcount Assumptions'!$D$13+'Headcount Assumptions'!$D$14</f>
        <v>2500</v>
      </c>
      <c r="M11" s="95">
        <f>'Headcount Assumptions'!$D$13+'Headcount Assumptions'!$D$14</f>
        <v>2500</v>
      </c>
    </row>
    <row r="12">
      <c r="B12" s="54" t="s">
        <v>83</v>
      </c>
      <c r="C12" s="95">
        <v>1250.0</v>
      </c>
      <c r="D12" s="95">
        <v>1250.0</v>
      </c>
      <c r="E12" s="95">
        <v>1250.0</v>
      </c>
      <c r="F12" s="95">
        <v>1250.0</v>
      </c>
      <c r="G12" s="95">
        <v>1250.0</v>
      </c>
      <c r="H12" s="95">
        <v>1250.0</v>
      </c>
      <c r="I12" s="95">
        <v>1250.0</v>
      </c>
      <c r="J12" s="95">
        <v>1250.0</v>
      </c>
      <c r="K12" s="95">
        <v>1250.0</v>
      </c>
      <c r="L12" s="95">
        <v>1250.0</v>
      </c>
      <c r="M12" s="95">
        <v>1250.0</v>
      </c>
    </row>
    <row r="13">
      <c r="B13" s="52" t="s">
        <v>10</v>
      </c>
      <c r="C13" s="55">
        <v>5000.0</v>
      </c>
      <c r="D13" s="55">
        <v>5000.0</v>
      </c>
      <c r="E13" s="55">
        <v>5000.0</v>
      </c>
      <c r="F13" s="55">
        <v>5000.0</v>
      </c>
      <c r="G13" s="55">
        <v>5000.0</v>
      </c>
      <c r="H13" s="55">
        <v>5000.0</v>
      </c>
      <c r="I13" s="55">
        <v>5000.0</v>
      </c>
      <c r="J13" s="55">
        <v>5000.0</v>
      </c>
      <c r="K13" s="55">
        <v>5000.0</v>
      </c>
      <c r="L13" s="55">
        <v>5000.0</v>
      </c>
      <c r="M13" s="55">
        <v>5000.0</v>
      </c>
    </row>
    <row r="14">
      <c r="B14" s="100" t="s">
        <v>84</v>
      </c>
      <c r="C14" s="101">
        <f t="shared" ref="C14:M14" si="1">SUM(C10:C13)</f>
        <v>14523</v>
      </c>
      <c r="D14" s="101">
        <f t="shared" si="1"/>
        <v>14523</v>
      </c>
      <c r="E14" s="101">
        <f t="shared" si="1"/>
        <v>14523</v>
      </c>
      <c r="F14" s="101">
        <f t="shared" si="1"/>
        <v>14523</v>
      </c>
      <c r="G14" s="101">
        <f t="shared" si="1"/>
        <v>14523</v>
      </c>
      <c r="H14" s="101">
        <f t="shared" si="1"/>
        <v>14523</v>
      </c>
      <c r="I14" s="101">
        <f t="shared" si="1"/>
        <v>14523</v>
      </c>
      <c r="J14" s="101">
        <f t="shared" si="1"/>
        <v>14523</v>
      </c>
      <c r="K14" s="101">
        <f t="shared" si="1"/>
        <v>14523</v>
      </c>
      <c r="L14" s="101">
        <f t="shared" si="1"/>
        <v>14523</v>
      </c>
      <c r="M14" s="101">
        <f t="shared" si="1"/>
        <v>14523</v>
      </c>
    </row>
    <row r="15">
      <c r="B15" s="127" t="s">
        <v>92</v>
      </c>
      <c r="C15" s="128">
        <f t="shared" ref="C15:M15" si="2">C9-C14</f>
        <v>10477</v>
      </c>
      <c r="D15" s="128">
        <f t="shared" si="2"/>
        <v>10477</v>
      </c>
      <c r="E15" s="128">
        <f t="shared" si="2"/>
        <v>10477</v>
      </c>
      <c r="F15" s="128">
        <f t="shared" si="2"/>
        <v>10477</v>
      </c>
      <c r="G15" s="128">
        <f t="shared" si="2"/>
        <v>10477</v>
      </c>
      <c r="H15" s="128">
        <f t="shared" si="2"/>
        <v>10477</v>
      </c>
      <c r="I15" s="128">
        <f t="shared" si="2"/>
        <v>10477</v>
      </c>
      <c r="J15" s="128">
        <f t="shared" si="2"/>
        <v>10477</v>
      </c>
      <c r="K15" s="128">
        <f t="shared" si="2"/>
        <v>10477</v>
      </c>
      <c r="L15" s="128">
        <f t="shared" si="2"/>
        <v>10477</v>
      </c>
      <c r="M15" s="128">
        <f t="shared" si="2"/>
        <v>10477</v>
      </c>
    </row>
    <row r="16">
      <c r="B16" s="129" t="s">
        <v>13</v>
      </c>
      <c r="C16" s="130">
        <f t="shared" ref="C16:M16" si="3">C15/C9</f>
        <v>0.41908</v>
      </c>
      <c r="D16" s="130">
        <f t="shared" si="3"/>
        <v>0.41908</v>
      </c>
      <c r="E16" s="130">
        <f t="shared" si="3"/>
        <v>0.41908</v>
      </c>
      <c r="F16" s="130">
        <f t="shared" si="3"/>
        <v>0.41908</v>
      </c>
      <c r="G16" s="130">
        <f t="shared" si="3"/>
        <v>0.41908</v>
      </c>
      <c r="H16" s="130">
        <f t="shared" si="3"/>
        <v>0.41908</v>
      </c>
      <c r="I16" s="130">
        <f t="shared" si="3"/>
        <v>0.41908</v>
      </c>
      <c r="J16" s="130">
        <f t="shared" si="3"/>
        <v>0.41908</v>
      </c>
      <c r="K16" s="130">
        <f t="shared" si="3"/>
        <v>0.41908</v>
      </c>
      <c r="L16" s="130">
        <f t="shared" si="3"/>
        <v>0.41908</v>
      </c>
      <c r="M16" s="130">
        <f t="shared" si="3"/>
        <v>0.41908</v>
      </c>
    </row>
    <row r="17">
      <c r="B17" s="107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</row>
    <row r="18">
      <c r="B18" s="109" t="s">
        <v>87</v>
      </c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</row>
    <row r="19">
      <c r="B19" s="110" t="s">
        <v>88</v>
      </c>
      <c r="C19" s="53">
        <v>0.0</v>
      </c>
      <c r="D19" s="65">
        <f t="shared" ref="D19:M19" si="4">C24</f>
        <v>2</v>
      </c>
      <c r="E19" s="65">
        <f t="shared" si="4"/>
        <v>10</v>
      </c>
      <c r="F19" s="65">
        <f t="shared" si="4"/>
        <v>20</v>
      </c>
      <c r="G19" s="65">
        <f t="shared" si="4"/>
        <v>50</v>
      </c>
      <c r="H19" s="65">
        <f t="shared" si="4"/>
        <v>100</v>
      </c>
      <c r="I19" s="65">
        <f t="shared" si="4"/>
        <v>150</v>
      </c>
      <c r="J19" s="65">
        <f t="shared" si="4"/>
        <v>200</v>
      </c>
      <c r="K19" s="65">
        <f t="shared" si="4"/>
        <v>250</v>
      </c>
      <c r="L19" s="65">
        <f t="shared" si="4"/>
        <v>400</v>
      </c>
      <c r="M19" s="65">
        <f t="shared" si="4"/>
        <v>625</v>
      </c>
    </row>
    <row r="20">
      <c r="B20" s="111" t="s">
        <v>89</v>
      </c>
      <c r="C20" s="65">
        <f t="shared" ref="C20:M20" si="5">C24-C19</f>
        <v>2</v>
      </c>
      <c r="D20" s="65">
        <f t="shared" si="5"/>
        <v>8</v>
      </c>
      <c r="E20" s="65">
        <f t="shared" si="5"/>
        <v>10</v>
      </c>
      <c r="F20" s="65">
        <f t="shared" si="5"/>
        <v>30</v>
      </c>
      <c r="G20" s="65">
        <f t="shared" si="5"/>
        <v>50</v>
      </c>
      <c r="H20" s="65">
        <f t="shared" si="5"/>
        <v>50</v>
      </c>
      <c r="I20" s="65">
        <f t="shared" si="5"/>
        <v>50</v>
      </c>
      <c r="J20" s="65">
        <f t="shared" si="5"/>
        <v>50</v>
      </c>
      <c r="K20" s="65">
        <f t="shared" si="5"/>
        <v>150</v>
      </c>
      <c r="L20" s="65">
        <f t="shared" si="5"/>
        <v>225</v>
      </c>
      <c r="M20" s="65">
        <f t="shared" si="5"/>
        <v>175</v>
      </c>
    </row>
    <row r="21">
      <c r="B21" s="52" t="s">
        <v>93</v>
      </c>
      <c r="C21" s="65"/>
      <c r="D21" s="65">
        <f t="shared" ref="D21:M21" si="6">C20</f>
        <v>2</v>
      </c>
      <c r="E21" s="65">
        <f t="shared" si="6"/>
        <v>8</v>
      </c>
      <c r="F21" s="65">
        <f t="shared" si="6"/>
        <v>10</v>
      </c>
      <c r="G21" s="65">
        <f t="shared" si="6"/>
        <v>30</v>
      </c>
      <c r="H21" s="65">
        <f t="shared" si="6"/>
        <v>50</v>
      </c>
      <c r="I21" s="65">
        <f t="shared" si="6"/>
        <v>50</v>
      </c>
      <c r="J21" s="65">
        <f t="shared" si="6"/>
        <v>50</v>
      </c>
      <c r="K21" s="65">
        <f t="shared" si="6"/>
        <v>50</v>
      </c>
      <c r="L21" s="65">
        <f t="shared" si="6"/>
        <v>150</v>
      </c>
      <c r="M21" s="65">
        <f t="shared" si="6"/>
        <v>225</v>
      </c>
    </row>
    <row r="22">
      <c r="B22" s="52" t="s">
        <v>94</v>
      </c>
      <c r="C22" s="65"/>
      <c r="D22" s="65" t="str">
        <f t="shared" ref="D22:M22" si="7">C21</f>
        <v/>
      </c>
      <c r="E22" s="65">
        <f t="shared" si="7"/>
        <v>2</v>
      </c>
      <c r="F22" s="65">
        <f t="shared" si="7"/>
        <v>8</v>
      </c>
      <c r="G22" s="65">
        <f t="shared" si="7"/>
        <v>10</v>
      </c>
      <c r="H22" s="65">
        <f t="shared" si="7"/>
        <v>30</v>
      </c>
      <c r="I22" s="65">
        <f t="shared" si="7"/>
        <v>50</v>
      </c>
      <c r="J22" s="65">
        <f t="shared" si="7"/>
        <v>50</v>
      </c>
      <c r="K22" s="65">
        <f t="shared" si="7"/>
        <v>50</v>
      </c>
      <c r="L22" s="65">
        <f t="shared" si="7"/>
        <v>50</v>
      </c>
      <c r="M22" s="65">
        <f t="shared" si="7"/>
        <v>150</v>
      </c>
    </row>
    <row r="23">
      <c r="B23" s="52" t="s">
        <v>95</v>
      </c>
      <c r="C23" s="65"/>
      <c r="D23" s="65" t="str">
        <f t="shared" ref="D23:F23" si="8">C22</f>
        <v/>
      </c>
      <c r="E23" s="65" t="str">
        <f t="shared" si="8"/>
        <v/>
      </c>
      <c r="F23" s="65">
        <f t="shared" si="8"/>
        <v>2</v>
      </c>
      <c r="G23" s="65">
        <f t="shared" ref="G23:M23" si="9">F22+F23</f>
        <v>10</v>
      </c>
      <c r="H23" s="65">
        <f t="shared" si="9"/>
        <v>20</v>
      </c>
      <c r="I23" s="65">
        <f t="shared" si="9"/>
        <v>50</v>
      </c>
      <c r="J23" s="65">
        <f t="shared" si="9"/>
        <v>100</v>
      </c>
      <c r="K23" s="65">
        <f t="shared" si="9"/>
        <v>150</v>
      </c>
      <c r="L23" s="65">
        <f t="shared" si="9"/>
        <v>200</v>
      </c>
      <c r="M23" s="65">
        <f t="shared" si="9"/>
        <v>250</v>
      </c>
    </row>
    <row r="24">
      <c r="B24" s="52" t="s">
        <v>90</v>
      </c>
      <c r="C24" s="53">
        <v>2.0</v>
      </c>
      <c r="D24" s="65">
        <f t="shared" ref="D24:M24" si="10">D3</f>
        <v>10</v>
      </c>
      <c r="E24" s="65">
        <f t="shared" si="10"/>
        <v>20</v>
      </c>
      <c r="F24" s="65">
        <f t="shared" si="10"/>
        <v>50</v>
      </c>
      <c r="G24" s="65">
        <f t="shared" si="10"/>
        <v>100</v>
      </c>
      <c r="H24" s="65">
        <f t="shared" si="10"/>
        <v>150</v>
      </c>
      <c r="I24" s="65">
        <f t="shared" si="10"/>
        <v>200</v>
      </c>
      <c r="J24" s="65">
        <f t="shared" si="10"/>
        <v>250</v>
      </c>
      <c r="K24" s="65">
        <f t="shared" si="10"/>
        <v>400</v>
      </c>
      <c r="L24" s="65">
        <f t="shared" si="10"/>
        <v>625</v>
      </c>
      <c r="M24" s="65">
        <f t="shared" si="10"/>
        <v>800</v>
      </c>
    </row>
    <row r="25">
      <c r="B25" s="107"/>
      <c r="C25" s="108"/>
      <c r="D25" s="108"/>
      <c r="E25" s="108"/>
      <c r="F25" s="108"/>
      <c r="G25" s="108"/>
      <c r="H25" s="108"/>
      <c r="I25" s="108"/>
      <c r="J25" s="108"/>
      <c r="K25" s="108"/>
      <c r="L25" s="108"/>
      <c r="M25" s="108"/>
    </row>
    <row r="26">
      <c r="B26" s="62" t="s">
        <v>56</v>
      </c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</row>
    <row r="27">
      <c r="B27" s="64" t="s">
        <v>57</v>
      </c>
      <c r="C27" s="53">
        <v>40.0</v>
      </c>
      <c r="D27" s="65">
        <f t="shared" ref="D27:M27" si="11">C31</f>
        <v>40</v>
      </c>
      <c r="E27" s="65">
        <f t="shared" si="11"/>
        <v>462</v>
      </c>
      <c r="F27" s="65">
        <f t="shared" si="11"/>
        <v>2786</v>
      </c>
      <c r="G27" s="65">
        <f t="shared" si="11"/>
        <v>7462</v>
      </c>
      <c r="H27" s="65">
        <f t="shared" si="11"/>
        <v>18620</v>
      </c>
      <c r="I27" s="65">
        <f t="shared" si="11"/>
        <v>39620</v>
      </c>
      <c r="J27" s="65">
        <f t="shared" si="11"/>
        <v>70000</v>
      </c>
      <c r="K27" s="65">
        <f t="shared" si="11"/>
        <v>105000</v>
      </c>
      <c r="L27" s="65">
        <f t="shared" si="11"/>
        <v>140000</v>
      </c>
      <c r="M27" s="65">
        <f t="shared" si="11"/>
        <v>198100</v>
      </c>
    </row>
    <row r="28">
      <c r="B28" s="52" t="s">
        <v>54</v>
      </c>
      <c r="C28" s="65">
        <f t="shared" ref="C28:M28" si="12">ROUND(-C27*$C5,0)</f>
        <v>-3</v>
      </c>
      <c r="D28" s="65">
        <f t="shared" si="12"/>
        <v>-3</v>
      </c>
      <c r="E28" s="65">
        <f t="shared" si="12"/>
        <v>-35</v>
      </c>
      <c r="F28" s="65">
        <f t="shared" si="12"/>
        <v>-209</v>
      </c>
      <c r="G28" s="65">
        <f t="shared" si="12"/>
        <v>-560</v>
      </c>
      <c r="H28" s="65">
        <f t="shared" si="12"/>
        <v>-1397</v>
      </c>
      <c r="I28" s="65">
        <f t="shared" si="12"/>
        <v>-2972</v>
      </c>
      <c r="J28" s="65">
        <f t="shared" si="12"/>
        <v>-5250</v>
      </c>
      <c r="K28" s="65">
        <f t="shared" si="12"/>
        <v>-7875</v>
      </c>
      <c r="L28" s="65">
        <f t="shared" si="12"/>
        <v>-10500</v>
      </c>
      <c r="M28" s="65">
        <f t="shared" si="12"/>
        <v>-14858</v>
      </c>
    </row>
    <row r="29">
      <c r="B29" s="56" t="s">
        <v>58</v>
      </c>
      <c r="C29" s="65"/>
      <c r="D29" s="67">
        <f>ROUND(-C31/'School Assumptions'!$B$54,0)</f>
        <v>-9</v>
      </c>
      <c r="E29" s="67">
        <f>ROUND(-D31/'School Assumptions'!$B$54,0)</f>
        <v>-103</v>
      </c>
      <c r="F29" s="67">
        <f>ROUND(-E31/'School Assumptions'!$B$54,0)</f>
        <v>-619</v>
      </c>
      <c r="G29" s="67">
        <f>ROUND(-F31/'School Assumptions'!$B$54,0)</f>
        <v>-1658</v>
      </c>
      <c r="H29" s="67">
        <f>ROUND(-G31/'School Assumptions'!$B$54,0)</f>
        <v>-4138</v>
      </c>
      <c r="I29" s="67">
        <f>ROUND(-H31/'School Assumptions'!$B$54,0)</f>
        <v>-8804</v>
      </c>
      <c r="J29" s="67">
        <f>ROUND(-I31/'School Assumptions'!$B$54,0)</f>
        <v>-15556</v>
      </c>
      <c r="K29" s="67">
        <f>ROUND(-J31/'School Assumptions'!$B$54,0)</f>
        <v>-23333</v>
      </c>
      <c r="L29" s="67">
        <f>ROUND(-K31/'School Assumptions'!$B$54,0)</f>
        <v>-31111</v>
      </c>
      <c r="M29" s="67">
        <f>ROUND(-L31/'School Assumptions'!$B$54,0)</f>
        <v>-44022</v>
      </c>
    </row>
    <row r="30">
      <c r="B30" s="68" t="s">
        <v>59</v>
      </c>
      <c r="C30" s="66">
        <f>C31-(C27+C28)</f>
        <v>3</v>
      </c>
      <c r="D30" s="66">
        <f t="shared" ref="D30:M30" si="13">D31-(D27+D28+D29)</f>
        <v>434</v>
      </c>
      <c r="E30" s="66">
        <f t="shared" si="13"/>
        <v>2462</v>
      </c>
      <c r="F30" s="66">
        <f t="shared" si="13"/>
        <v>5504</v>
      </c>
      <c r="G30" s="66">
        <f t="shared" si="13"/>
        <v>13376</v>
      </c>
      <c r="H30" s="66">
        <f t="shared" si="13"/>
        <v>26535</v>
      </c>
      <c r="I30" s="66">
        <f t="shared" si="13"/>
        <v>42156</v>
      </c>
      <c r="J30" s="66">
        <f t="shared" si="13"/>
        <v>55806</v>
      </c>
      <c r="K30" s="66">
        <f t="shared" si="13"/>
        <v>66208</v>
      </c>
      <c r="L30" s="66">
        <f t="shared" si="13"/>
        <v>99711</v>
      </c>
      <c r="M30" s="66">
        <f t="shared" si="13"/>
        <v>158105</v>
      </c>
    </row>
    <row r="31">
      <c r="B31" s="131" t="s">
        <v>60</v>
      </c>
      <c r="C31" s="132">
        <f>MAX(C27,(C4*(C21*'School Assumptions'!$B$50)+(C22*'School Assumptions'!$B$51)+(C23*'School Assumptions'!$B$52)+(C20*'School Assumptions'!$B$49)))</f>
        <v>40</v>
      </c>
      <c r="D31" s="132">
        <f>D4*((D21*'School Assumptions'!$B$50)+(D22*'School Assumptions'!$B$51)+(D23*'School Assumptions'!$B$52)+(D20*'School Assumptions'!$B$49))</f>
        <v>462</v>
      </c>
      <c r="E31" s="132">
        <f>E4*((E21*'School Assumptions'!$B$50)+(E22*'School Assumptions'!$B$51)+(E23*'School Assumptions'!$B$52)+(E20*'School Assumptions'!$B$49))</f>
        <v>2786</v>
      </c>
      <c r="F31" s="132">
        <f>F4*((F21*'School Assumptions'!$B$50)+(F22*'School Assumptions'!$B$51)+(F23*'School Assumptions'!$B$52)+(F20*'School Assumptions'!$B$49))</f>
        <v>7462</v>
      </c>
      <c r="G31" s="132">
        <f>G4*((G21*'School Assumptions'!$B$50)+(G22*'School Assumptions'!$B$51)+(G23*'School Assumptions'!$B$52)+(G20*'School Assumptions'!$B$49))</f>
        <v>18620</v>
      </c>
      <c r="H31" s="132">
        <f>H4*((H21*'School Assumptions'!$B$50)+(H22*'School Assumptions'!$B$51)+(H23*'School Assumptions'!$B$52)+(H20*'School Assumptions'!$B$49))</f>
        <v>39620</v>
      </c>
      <c r="I31" s="132">
        <f>I4*((I21*'School Assumptions'!$B$50)+(I22*'School Assumptions'!$B$51)+(I23*'School Assumptions'!$B$52)+(I20*'School Assumptions'!$B$49))</f>
        <v>70000</v>
      </c>
      <c r="J31" s="132">
        <f>J4*((J21*'School Assumptions'!$B$50)+(J22*'School Assumptions'!$B$51)+(J23*'School Assumptions'!$B$52)+(J20*'School Assumptions'!$B$49))</f>
        <v>105000</v>
      </c>
      <c r="K31" s="132">
        <f>K4*((K21*'School Assumptions'!$B$50)+(K22*'School Assumptions'!$B$51)+(K23*'School Assumptions'!$B$52)+(K20*'School Assumptions'!$B$49))</f>
        <v>140000</v>
      </c>
      <c r="L31" s="132">
        <f>L4*((L21*'School Assumptions'!$B$50)+(L22*'School Assumptions'!$B$51)+(L23*'School Assumptions'!$B$52)+(L20*'School Assumptions'!$B$49))</f>
        <v>198100</v>
      </c>
      <c r="M31" s="132">
        <f>M4*((M21*'School Assumptions'!$B$50)+(M22*'School Assumptions'!$B$51)+(M23*'School Assumptions'!$B$52)+(M20*'School Assumptions'!$B$49))</f>
        <v>297325</v>
      </c>
    </row>
    <row r="32">
      <c r="B32" s="44"/>
    </row>
    <row r="33">
      <c r="B33" s="133" t="s">
        <v>96</v>
      </c>
      <c r="C33" s="134">
        <f t="shared" ref="C33:M33" si="14">C31*C9</f>
        <v>1000000</v>
      </c>
      <c r="D33" s="134">
        <f t="shared" si="14"/>
        <v>11550000</v>
      </c>
      <c r="E33" s="134">
        <f t="shared" si="14"/>
        <v>69650000</v>
      </c>
      <c r="F33" s="134">
        <f t="shared" si="14"/>
        <v>186550000</v>
      </c>
      <c r="G33" s="134">
        <f t="shared" si="14"/>
        <v>465500000</v>
      </c>
      <c r="H33" s="134">
        <f t="shared" si="14"/>
        <v>990500000</v>
      </c>
      <c r="I33" s="134">
        <f t="shared" si="14"/>
        <v>1750000000</v>
      </c>
      <c r="J33" s="134">
        <f t="shared" si="14"/>
        <v>2625000000</v>
      </c>
      <c r="K33" s="134">
        <f t="shared" si="14"/>
        <v>3500000000</v>
      </c>
      <c r="L33" s="134">
        <f t="shared" si="14"/>
        <v>4952500000</v>
      </c>
      <c r="M33" s="134">
        <f t="shared" si="14"/>
        <v>7433125000</v>
      </c>
    </row>
    <row r="34">
      <c r="B34" s="1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B35" s="5" t="s">
        <v>61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B36" s="20" t="s">
        <v>62</v>
      </c>
      <c r="C36" s="135">
        <f>'Headcount Assumptions'!$F$11</f>
        <v>5232.5</v>
      </c>
      <c r="D36" s="135">
        <f>'Headcount Assumptions'!$F$11</f>
        <v>5232.5</v>
      </c>
      <c r="E36" s="135">
        <f>'Headcount Assumptions'!$F$11</f>
        <v>5232.5</v>
      </c>
      <c r="F36" s="135">
        <f>'Headcount Assumptions'!$F$11</f>
        <v>5232.5</v>
      </c>
      <c r="G36" s="135">
        <f>'Headcount Assumptions'!$F$11</f>
        <v>5232.5</v>
      </c>
      <c r="H36" s="135">
        <f>'Headcount Assumptions'!$F$11</f>
        <v>5232.5</v>
      </c>
      <c r="I36" s="135">
        <f>'Headcount Assumptions'!$F$11</f>
        <v>5232.5</v>
      </c>
      <c r="J36" s="135">
        <f>'Headcount Assumptions'!$F$11</f>
        <v>5232.5</v>
      </c>
      <c r="K36" s="135">
        <f>'Headcount Assumptions'!$F$11</f>
        <v>5232.5</v>
      </c>
      <c r="L36" s="135">
        <f>'Headcount Assumptions'!$F$11</f>
        <v>5232.5</v>
      </c>
      <c r="M36" s="135">
        <f>'Headcount Assumptions'!$F$11</f>
        <v>5232.5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B37" s="20" t="s">
        <v>63</v>
      </c>
      <c r="C37" s="135">
        <f>'Headcount Assumptions'!$F$13+'Headcount Assumptions'!$F$14</f>
        <v>3000</v>
      </c>
      <c r="D37" s="135">
        <f>'Headcount Assumptions'!$F$13+'Headcount Assumptions'!$F$14</f>
        <v>3000</v>
      </c>
      <c r="E37" s="135">
        <f>'Headcount Assumptions'!$F$13+'Headcount Assumptions'!$F$14</f>
        <v>3000</v>
      </c>
      <c r="F37" s="135">
        <f>'Headcount Assumptions'!$F$13+'Headcount Assumptions'!$F$14</f>
        <v>3000</v>
      </c>
      <c r="G37" s="135">
        <f>'Headcount Assumptions'!$F$13+'Headcount Assumptions'!$F$14</f>
        <v>3000</v>
      </c>
      <c r="H37" s="135">
        <f>'Headcount Assumptions'!$F$13+'Headcount Assumptions'!$F$14</f>
        <v>3000</v>
      </c>
      <c r="I37" s="135">
        <f>'Headcount Assumptions'!$F$13+'Headcount Assumptions'!$F$14</f>
        <v>3000</v>
      </c>
      <c r="J37" s="135">
        <f>'Headcount Assumptions'!$F$13+'Headcount Assumptions'!$F$14</f>
        <v>3000</v>
      </c>
      <c r="K37" s="135">
        <f>'Headcount Assumptions'!$F$13+'Headcount Assumptions'!$F$14</f>
        <v>3000</v>
      </c>
      <c r="L37" s="135">
        <f>'Headcount Assumptions'!$F$13+'Headcount Assumptions'!$F$14</f>
        <v>3000</v>
      </c>
      <c r="M37" s="135">
        <f>'Headcount Assumptions'!$F$13+'Headcount Assumptions'!$F$14</f>
        <v>3000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B38" s="20" t="s">
        <v>64</v>
      </c>
      <c r="C38" s="136">
        <v>1500.0</v>
      </c>
      <c r="D38" s="136">
        <v>1500.0</v>
      </c>
      <c r="E38" s="136">
        <v>1500.0</v>
      </c>
      <c r="F38" s="136">
        <v>1500.0</v>
      </c>
      <c r="G38" s="136">
        <v>1500.0</v>
      </c>
      <c r="H38" s="136">
        <v>1500.0</v>
      </c>
      <c r="I38" s="136">
        <v>1500.0</v>
      </c>
      <c r="J38" s="136">
        <v>1500.0</v>
      </c>
      <c r="K38" s="136">
        <v>1500.0</v>
      </c>
      <c r="L38" s="136">
        <v>1500.0</v>
      </c>
      <c r="M38" s="136">
        <v>1500.0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B39" s="20" t="s">
        <v>10</v>
      </c>
      <c r="C39" s="136">
        <v>5000.0</v>
      </c>
      <c r="D39" s="136">
        <v>5000.0</v>
      </c>
      <c r="E39" s="136">
        <v>5000.0</v>
      </c>
      <c r="F39" s="136">
        <v>5000.0</v>
      </c>
      <c r="G39" s="136">
        <v>5000.0</v>
      </c>
      <c r="H39" s="136">
        <v>5000.0</v>
      </c>
      <c r="I39" s="136">
        <v>5000.0</v>
      </c>
      <c r="J39" s="136">
        <v>5000.0</v>
      </c>
      <c r="K39" s="136">
        <v>5000.0</v>
      </c>
      <c r="L39" s="136">
        <v>5000.0</v>
      </c>
      <c r="M39" s="136">
        <v>5000.0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B40" s="137" t="s">
        <v>65</v>
      </c>
      <c r="C40" s="138">
        <f t="shared" ref="C40:M40" si="15">SUM(C36:C39)</f>
        <v>14732.5</v>
      </c>
      <c r="D40" s="138">
        <f t="shared" si="15"/>
        <v>14732.5</v>
      </c>
      <c r="E40" s="138">
        <f t="shared" si="15"/>
        <v>14732.5</v>
      </c>
      <c r="F40" s="138">
        <f t="shared" si="15"/>
        <v>14732.5</v>
      </c>
      <c r="G40" s="138">
        <f t="shared" si="15"/>
        <v>14732.5</v>
      </c>
      <c r="H40" s="138">
        <f t="shared" si="15"/>
        <v>14732.5</v>
      </c>
      <c r="I40" s="138">
        <f t="shared" si="15"/>
        <v>14732.5</v>
      </c>
      <c r="J40" s="138">
        <f t="shared" si="15"/>
        <v>14732.5</v>
      </c>
      <c r="K40" s="138">
        <f t="shared" si="15"/>
        <v>14732.5</v>
      </c>
      <c r="L40" s="138">
        <f t="shared" si="15"/>
        <v>14732.5</v>
      </c>
      <c r="M40" s="139">
        <f t="shared" si="15"/>
        <v>14732.5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B41" s="140" t="s">
        <v>97</v>
      </c>
      <c r="C41" s="141">
        <f t="shared" ref="C41:M41" si="16">C31*C40</f>
        <v>589300</v>
      </c>
      <c r="D41" s="141">
        <f t="shared" si="16"/>
        <v>6806415</v>
      </c>
      <c r="E41" s="141">
        <f t="shared" si="16"/>
        <v>41044745</v>
      </c>
      <c r="F41" s="141">
        <f t="shared" si="16"/>
        <v>109933915</v>
      </c>
      <c r="G41" s="141">
        <f t="shared" si="16"/>
        <v>274319150</v>
      </c>
      <c r="H41" s="141">
        <f t="shared" si="16"/>
        <v>583701650</v>
      </c>
      <c r="I41" s="141">
        <f t="shared" si="16"/>
        <v>1031275000</v>
      </c>
      <c r="J41" s="141">
        <f t="shared" si="16"/>
        <v>1546912500</v>
      </c>
      <c r="K41" s="141">
        <f t="shared" si="16"/>
        <v>2062550000</v>
      </c>
      <c r="L41" s="141">
        <f t="shared" si="16"/>
        <v>2918508250</v>
      </c>
      <c r="M41" s="141">
        <f t="shared" si="16"/>
        <v>4380340563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B42" s="20"/>
      <c r="C42" s="14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B43" s="143" t="s">
        <v>98</v>
      </c>
      <c r="C43" s="144">
        <f t="shared" ref="C43:M43" si="17">C33-C41</f>
        <v>410700</v>
      </c>
      <c r="D43" s="144">
        <f t="shared" si="17"/>
        <v>4743585</v>
      </c>
      <c r="E43" s="144">
        <f t="shared" si="17"/>
        <v>28605255</v>
      </c>
      <c r="F43" s="144">
        <f t="shared" si="17"/>
        <v>76616085</v>
      </c>
      <c r="G43" s="144">
        <f t="shared" si="17"/>
        <v>191180850</v>
      </c>
      <c r="H43" s="144">
        <f t="shared" si="17"/>
        <v>406798350</v>
      </c>
      <c r="I43" s="144">
        <f t="shared" si="17"/>
        <v>718725000</v>
      </c>
      <c r="J43" s="144">
        <f t="shared" si="17"/>
        <v>1078087500</v>
      </c>
      <c r="K43" s="144">
        <f t="shared" si="17"/>
        <v>1437450000</v>
      </c>
      <c r="L43" s="144">
        <f t="shared" si="17"/>
        <v>2033991750</v>
      </c>
      <c r="M43" s="144">
        <f t="shared" si="17"/>
        <v>3052784438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B44" s="20"/>
      <c r="C44" s="14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B45" s="5" t="s">
        <v>99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B46" s="145" t="s">
        <v>100</v>
      </c>
      <c r="C46" s="20">
        <v>0.0</v>
      </c>
      <c r="D46" s="146">
        <f>D20*((('School Assumptions'!$B$30*'School Assumptions'!$B$46)+('School Assumptions'!$B$40*(1-'School Assumptions'!$B$46))))</f>
        <v>44000000</v>
      </c>
      <c r="E46" s="146">
        <f>E20*((('School Assumptions'!$B$30*'School Assumptions'!$B$46)+('School Assumptions'!$B$40*(1-'School Assumptions'!$B$46))))</f>
        <v>55000000</v>
      </c>
      <c r="F46" s="146">
        <f>F20*((('School Assumptions'!$B$30*'School Assumptions'!$B$46)+('School Assumptions'!$B$40*(1-'School Assumptions'!$B$46))))</f>
        <v>165000000</v>
      </c>
      <c r="G46" s="146">
        <f>G20*((('School Assumptions'!$B$30*'School Assumptions'!$B$46)+('School Assumptions'!$B$40*(1-'School Assumptions'!$B$46))))</f>
        <v>275000000</v>
      </c>
      <c r="H46" s="146">
        <f>H20*((('School Assumptions'!$B$30*'School Assumptions'!$B$46)+('School Assumptions'!$B$40*(1-'School Assumptions'!$B$46))))</f>
        <v>275000000</v>
      </c>
      <c r="I46" s="146">
        <f>I20*((('School Assumptions'!$B$30*'School Assumptions'!$B$46)+('School Assumptions'!$B$40*(1-'School Assumptions'!$B$46))))</f>
        <v>275000000</v>
      </c>
      <c r="J46" s="146">
        <f>J20*((('School Assumptions'!$B$30*'School Assumptions'!$B$46)+('School Assumptions'!$B$40*(1-'School Assumptions'!$B$46))))</f>
        <v>275000000</v>
      </c>
      <c r="K46" s="146">
        <f>K20*((('School Assumptions'!$B$30*'School Assumptions'!$B$46)+('School Assumptions'!$B$40*(1-'School Assumptions'!$B$46))))</f>
        <v>825000000</v>
      </c>
      <c r="L46" s="146">
        <f>L20*((('School Assumptions'!$B$30*'School Assumptions'!$B$46)+('School Assumptions'!$B$40*(1-'School Assumptions'!$B$46))))</f>
        <v>1237500000</v>
      </c>
      <c r="M46" s="146">
        <f>M20*((('School Assumptions'!$B$30*'School Assumptions'!$B$46)+('School Assumptions'!$B$40*(1-'School Assumptions'!$B$46))))</f>
        <v>962500000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B47" s="145" t="s">
        <v>101</v>
      </c>
      <c r="C47" s="142">
        <v>2.5E7</v>
      </c>
      <c r="D47" s="146">
        <f>D20*((('School Assumptions'!$B$31*'School Assumptions'!$B$46)+('School Assumptions'!$B$41*(1-'School Assumptions'!$B$46))))</f>
        <v>216000000</v>
      </c>
      <c r="E47" s="146">
        <f>E20*((('School Assumptions'!$B$31*'School Assumptions'!$B$46)+('School Assumptions'!$B$41*(1-'School Assumptions'!$B$46))))</f>
        <v>270000000</v>
      </c>
      <c r="F47" s="146">
        <f>F20*((('School Assumptions'!$B$31*'School Assumptions'!$B$46)+('School Assumptions'!$B$41*(1-'School Assumptions'!$B$46))))</f>
        <v>810000000</v>
      </c>
      <c r="G47" s="146">
        <f>G20*((('School Assumptions'!$B$31*'School Assumptions'!$B$46)+('School Assumptions'!$B$41*(1-'School Assumptions'!$B$46))))</f>
        <v>1350000000</v>
      </c>
      <c r="H47" s="146">
        <f>H20*((('School Assumptions'!$B$31*'School Assumptions'!$B$46)+('School Assumptions'!$B$41*(1-'School Assumptions'!$B$46))))</f>
        <v>1350000000</v>
      </c>
      <c r="I47" s="146">
        <f>I20*((('School Assumptions'!$B$31*'School Assumptions'!$B$46)+('School Assumptions'!$B$41*(1-'School Assumptions'!$B$46))))</f>
        <v>1350000000</v>
      </c>
      <c r="J47" s="146">
        <f>J20*((('School Assumptions'!$B$31*'School Assumptions'!$B$46)+('School Assumptions'!$B$41*(1-'School Assumptions'!$B$46))))</f>
        <v>1350000000</v>
      </c>
      <c r="K47" s="146">
        <f>K20*((('School Assumptions'!$B$31*'School Assumptions'!$B$46)+('School Assumptions'!$B$41*(1-'School Assumptions'!$B$46))))</f>
        <v>4050000000</v>
      </c>
      <c r="L47" s="146">
        <f>L20*((('School Assumptions'!$B$31*'School Assumptions'!$B$46)+('School Assumptions'!$B$41*(1-'School Assumptions'!$B$46))))</f>
        <v>6075000000</v>
      </c>
      <c r="M47" s="146">
        <f>M20*((('School Assumptions'!$B$31*'School Assumptions'!$B$46)+('School Assumptions'!$B$41*(1-'School Assumptions'!$B$46))))</f>
        <v>4725000000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B48" s="1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B49" s="71" t="s">
        <v>102</v>
      </c>
      <c r="C49" s="72"/>
      <c r="D49" s="147"/>
      <c r="E49" s="147"/>
      <c r="F49" s="147"/>
      <c r="G49" s="147"/>
      <c r="H49" s="147"/>
      <c r="I49" s="147"/>
      <c r="J49" s="147"/>
      <c r="K49" s="147"/>
      <c r="L49" s="147"/>
      <c r="M49" s="147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B50" s="44" t="s">
        <v>103</v>
      </c>
      <c r="C50" s="148">
        <f>C51</f>
        <v>25000000</v>
      </c>
      <c r="D50" s="149">
        <f t="shared" ref="D50:M50" si="18">C50+D47</f>
        <v>241000000</v>
      </c>
      <c r="E50" s="149">
        <f t="shared" si="18"/>
        <v>511000000</v>
      </c>
      <c r="F50" s="149">
        <f t="shared" si="18"/>
        <v>1321000000</v>
      </c>
      <c r="G50" s="149">
        <f t="shared" si="18"/>
        <v>2671000000</v>
      </c>
      <c r="H50" s="149">
        <f t="shared" si="18"/>
        <v>4021000000</v>
      </c>
      <c r="I50" s="149">
        <f t="shared" si="18"/>
        <v>5371000000</v>
      </c>
      <c r="J50" s="149">
        <f t="shared" si="18"/>
        <v>6721000000</v>
      </c>
      <c r="K50" s="149">
        <f t="shared" si="18"/>
        <v>10771000000</v>
      </c>
      <c r="L50" s="149">
        <f t="shared" si="18"/>
        <v>16846000000</v>
      </c>
      <c r="M50" s="149">
        <f t="shared" si="18"/>
        <v>21571000000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B51" s="20" t="s">
        <v>104</v>
      </c>
      <c r="C51" s="146">
        <f>C47</f>
        <v>25000000</v>
      </c>
      <c r="D51" s="146">
        <f t="shared" ref="D51:M51" si="19">C51+D47-C52</f>
        <v>238500000</v>
      </c>
      <c r="E51" s="146">
        <f t="shared" si="19"/>
        <v>484400000</v>
      </c>
      <c r="F51" s="146">
        <f t="shared" si="19"/>
        <v>1243300000</v>
      </c>
      <c r="G51" s="146">
        <f t="shared" si="19"/>
        <v>2461200000</v>
      </c>
      <c r="H51" s="146">
        <f t="shared" si="19"/>
        <v>3544100000</v>
      </c>
      <c r="I51" s="146">
        <f t="shared" si="19"/>
        <v>4492000000</v>
      </c>
      <c r="J51" s="146">
        <f t="shared" si="19"/>
        <v>5304900000</v>
      </c>
      <c r="K51" s="146">
        <f t="shared" si="19"/>
        <v>8682800000</v>
      </c>
      <c r="L51" s="146">
        <f t="shared" si="19"/>
        <v>13680700000</v>
      </c>
      <c r="M51" s="146">
        <f t="shared" si="19"/>
        <v>16721100000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B52" s="150" t="s">
        <v>105</v>
      </c>
      <c r="C52" s="146">
        <f>C51/(('School Assumptions'!$B$32*'School Assumptions'!$B$46)+('School Assumptions'!$B$42*(1-'School Assumptions'!$B$46)))</f>
        <v>2500000</v>
      </c>
      <c r="D52" s="146">
        <f>D50/(('School Assumptions'!$B$32*'School Assumptions'!$B$46)+('School Assumptions'!$B$42*(1-'School Assumptions'!$B$46)))</f>
        <v>24100000</v>
      </c>
      <c r="E52" s="146">
        <f>E50/(('School Assumptions'!$B$32*'School Assumptions'!$B$46)+('School Assumptions'!$B$42*(1-'School Assumptions'!$B$46)))</f>
        <v>51100000</v>
      </c>
      <c r="F52" s="146">
        <f>F50/(('School Assumptions'!$B$32*'School Assumptions'!$B$46)+('School Assumptions'!$B$42*(1-'School Assumptions'!$B$46)))</f>
        <v>132100000</v>
      </c>
      <c r="G52" s="146">
        <f>G50/(('School Assumptions'!$B$32*'School Assumptions'!$B$46)+('School Assumptions'!$B$42*(1-'School Assumptions'!$B$46)))</f>
        <v>267100000</v>
      </c>
      <c r="H52" s="146">
        <f>H50/(('School Assumptions'!$B$32*'School Assumptions'!$B$46)+('School Assumptions'!$B$42*(1-'School Assumptions'!$B$46)))</f>
        <v>402100000</v>
      </c>
      <c r="I52" s="146">
        <f>I50/(('School Assumptions'!$B$32*'School Assumptions'!$B$46)+('School Assumptions'!$B$42*(1-'School Assumptions'!$B$46)))</f>
        <v>537100000</v>
      </c>
      <c r="J52" s="146">
        <f>J50/(('School Assumptions'!$B$32*'School Assumptions'!$B$46)+('School Assumptions'!$B$42*(1-'School Assumptions'!$B$46)))</f>
        <v>672100000</v>
      </c>
      <c r="K52" s="146">
        <f>K50/(('School Assumptions'!$B$32*'School Assumptions'!$B$46)+('School Assumptions'!$B$42*(1-'School Assumptions'!$B$46)))</f>
        <v>1077100000</v>
      </c>
      <c r="L52" s="146">
        <f>L50/(('School Assumptions'!$B$32*'School Assumptions'!$B$46)+('School Assumptions'!$B$42*(1-'School Assumptions'!$B$46)))</f>
        <v>1684600000</v>
      </c>
      <c r="M52" s="146">
        <f>M50/(('School Assumptions'!$B$32*'School Assumptions'!$B$46)+('School Assumptions'!$B$42*(1-'School Assumptions'!$B$46)))</f>
        <v>2157100000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B53" s="1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B54" s="151" t="s">
        <v>106</v>
      </c>
      <c r="C54" s="152">
        <f t="shared" ref="C54:M54" si="20">C46+C47</f>
        <v>25000000</v>
      </c>
      <c r="D54" s="152">
        <f t="shared" si="20"/>
        <v>260000000</v>
      </c>
      <c r="E54" s="152">
        <f t="shared" si="20"/>
        <v>325000000</v>
      </c>
      <c r="F54" s="152">
        <f t="shared" si="20"/>
        <v>975000000</v>
      </c>
      <c r="G54" s="152">
        <f t="shared" si="20"/>
        <v>1625000000</v>
      </c>
      <c r="H54" s="152">
        <f t="shared" si="20"/>
        <v>1625000000</v>
      </c>
      <c r="I54" s="152">
        <f t="shared" si="20"/>
        <v>1625000000</v>
      </c>
      <c r="J54" s="152">
        <f t="shared" si="20"/>
        <v>1625000000</v>
      </c>
      <c r="K54" s="152">
        <f t="shared" si="20"/>
        <v>4875000000</v>
      </c>
      <c r="L54" s="152">
        <f t="shared" si="20"/>
        <v>7312500000</v>
      </c>
      <c r="M54" s="152">
        <f t="shared" si="20"/>
        <v>5687500000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B55" s="1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B56" s="5" t="s">
        <v>107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B57" s="150" t="s">
        <v>108</v>
      </c>
      <c r="C57" s="142">
        <v>1.1E7</v>
      </c>
      <c r="D57" s="146">
        <f t="shared" ref="D57:M57" si="21">C57+D46</f>
        <v>55000000</v>
      </c>
      <c r="E57" s="146">
        <f t="shared" si="21"/>
        <v>110000000</v>
      </c>
      <c r="F57" s="146">
        <f t="shared" si="21"/>
        <v>275000000</v>
      </c>
      <c r="G57" s="146">
        <f t="shared" si="21"/>
        <v>550000000</v>
      </c>
      <c r="H57" s="146">
        <f t="shared" si="21"/>
        <v>825000000</v>
      </c>
      <c r="I57" s="146">
        <f t="shared" si="21"/>
        <v>1100000000</v>
      </c>
      <c r="J57" s="146">
        <f t="shared" si="21"/>
        <v>1375000000</v>
      </c>
      <c r="K57" s="146">
        <f t="shared" si="21"/>
        <v>2200000000</v>
      </c>
      <c r="L57" s="146">
        <f t="shared" si="21"/>
        <v>3437500000</v>
      </c>
      <c r="M57" s="146">
        <f t="shared" si="21"/>
        <v>4400000000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B58" s="20" t="s">
        <v>109</v>
      </c>
      <c r="C58" s="146">
        <f t="shared" ref="C58:M58" si="22">C51</f>
        <v>25000000</v>
      </c>
      <c r="D58" s="146">
        <f t="shared" si="22"/>
        <v>238500000</v>
      </c>
      <c r="E58" s="146">
        <f t="shared" si="22"/>
        <v>484400000</v>
      </c>
      <c r="F58" s="146">
        <f t="shared" si="22"/>
        <v>1243300000</v>
      </c>
      <c r="G58" s="146">
        <f t="shared" si="22"/>
        <v>2461200000</v>
      </c>
      <c r="H58" s="146">
        <f t="shared" si="22"/>
        <v>3544100000</v>
      </c>
      <c r="I58" s="146">
        <f t="shared" si="22"/>
        <v>4492000000</v>
      </c>
      <c r="J58" s="146">
        <f t="shared" si="22"/>
        <v>5304900000</v>
      </c>
      <c r="K58" s="146">
        <f t="shared" si="22"/>
        <v>8682800000</v>
      </c>
      <c r="L58" s="146">
        <f t="shared" si="22"/>
        <v>13680700000</v>
      </c>
      <c r="M58" s="146">
        <f t="shared" si="22"/>
        <v>16721100000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B59" s="153" t="s">
        <v>110</v>
      </c>
      <c r="C59" s="154">
        <f t="shared" ref="C59:M59" si="23">C58+C57</f>
        <v>36000000</v>
      </c>
      <c r="D59" s="154">
        <f t="shared" si="23"/>
        <v>293500000</v>
      </c>
      <c r="E59" s="154">
        <f t="shared" si="23"/>
        <v>594400000</v>
      </c>
      <c r="F59" s="154">
        <f t="shared" si="23"/>
        <v>1518300000</v>
      </c>
      <c r="G59" s="154">
        <f t="shared" si="23"/>
        <v>3011200000</v>
      </c>
      <c r="H59" s="154">
        <f t="shared" si="23"/>
        <v>4369100000</v>
      </c>
      <c r="I59" s="154">
        <f t="shared" si="23"/>
        <v>5592000000</v>
      </c>
      <c r="J59" s="154">
        <f t="shared" si="23"/>
        <v>6679900000</v>
      </c>
      <c r="K59" s="154">
        <f t="shared" si="23"/>
        <v>10882800000</v>
      </c>
      <c r="L59" s="154">
        <f t="shared" si="23"/>
        <v>17118200000</v>
      </c>
      <c r="M59" s="154">
        <f t="shared" si="23"/>
        <v>21121100000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08"/>
      <c r="B61" s="88" t="s">
        <v>111</v>
      </c>
      <c r="C61" s="155">
        <f>(C57/10)</f>
        <v>1100000</v>
      </c>
      <c r="D61" s="155">
        <f t="shared" ref="D61:M61" si="24">(D57/10)+D52</f>
        <v>29600000</v>
      </c>
      <c r="E61" s="155">
        <f t="shared" si="24"/>
        <v>62100000</v>
      </c>
      <c r="F61" s="155">
        <f t="shared" si="24"/>
        <v>159600000</v>
      </c>
      <c r="G61" s="155">
        <f t="shared" si="24"/>
        <v>322100000</v>
      </c>
      <c r="H61" s="155">
        <f t="shared" si="24"/>
        <v>484600000</v>
      </c>
      <c r="I61" s="155">
        <f t="shared" si="24"/>
        <v>647100000</v>
      </c>
      <c r="J61" s="155">
        <f t="shared" si="24"/>
        <v>809600000</v>
      </c>
      <c r="K61" s="155">
        <f t="shared" si="24"/>
        <v>1297100000</v>
      </c>
      <c r="L61" s="155">
        <f t="shared" si="24"/>
        <v>2028350000</v>
      </c>
      <c r="M61" s="155">
        <f t="shared" si="24"/>
        <v>2597100000</v>
      </c>
      <c r="N61" s="156" t="s">
        <v>112</v>
      </c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</row>
    <row r="62">
      <c r="B62" s="157" t="s">
        <v>113</v>
      </c>
      <c r="C62" s="146">
        <f t="shared" ref="C62:M62" si="25">C61/C31</f>
        <v>27500</v>
      </c>
      <c r="D62" s="146">
        <f t="shared" si="25"/>
        <v>64069.26407</v>
      </c>
      <c r="E62" s="146">
        <f t="shared" si="25"/>
        <v>22290.02154</v>
      </c>
      <c r="F62" s="146">
        <f t="shared" si="25"/>
        <v>21388.36773</v>
      </c>
      <c r="G62" s="146">
        <f t="shared" si="25"/>
        <v>17298.60365</v>
      </c>
      <c r="H62" s="146">
        <f t="shared" si="25"/>
        <v>12231.19637</v>
      </c>
      <c r="I62" s="146">
        <f t="shared" si="25"/>
        <v>9244.285714</v>
      </c>
      <c r="J62" s="146">
        <f t="shared" si="25"/>
        <v>7710.47619</v>
      </c>
      <c r="K62" s="146">
        <f t="shared" si="25"/>
        <v>9265</v>
      </c>
      <c r="L62" s="146">
        <f t="shared" si="25"/>
        <v>10239.0207</v>
      </c>
      <c r="M62" s="146">
        <f t="shared" si="25"/>
        <v>8734.886067</v>
      </c>
      <c r="N62" s="20" t="s">
        <v>114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B63" s="1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B64" s="1" t="s">
        <v>115</v>
      </c>
      <c r="C64" s="146">
        <f>(('School Assumptions'!$B$36*'School Assumptions'!$B$46)+('School Assumptions'!$B$44*(1-'School Assumptions'!$B$46)))*C3</f>
        <v>2031736</v>
      </c>
      <c r="D64" s="146">
        <f>(('School Assumptions'!$B$36*'School Assumptions'!$B$46)+('School Assumptions'!$B$44*(1-'School Assumptions'!$B$46)))*D3</f>
        <v>10158680</v>
      </c>
      <c r="E64" s="146">
        <f>(('School Assumptions'!$B$36*'School Assumptions'!$B$46)+('School Assumptions'!$B$44*(1-'School Assumptions'!$B$46)))*E3</f>
        <v>20317360</v>
      </c>
      <c r="F64" s="146">
        <f>(('School Assumptions'!$B$36*'School Assumptions'!$B$46)+('School Assumptions'!$B$44*(1-'School Assumptions'!$B$46)))*F3</f>
        <v>50793400</v>
      </c>
      <c r="G64" s="146">
        <f>(('School Assumptions'!$B$36*'School Assumptions'!$B$46)+('School Assumptions'!$B$44*(1-'School Assumptions'!$B$46)))*G3</f>
        <v>101586800</v>
      </c>
      <c r="H64" s="146">
        <f>(('School Assumptions'!$B$36*'School Assumptions'!$B$46)+('School Assumptions'!$B$44*(1-'School Assumptions'!$B$46)))*H3</f>
        <v>152380200</v>
      </c>
      <c r="I64" s="146">
        <f>(('School Assumptions'!$B$36*'School Assumptions'!$B$46)+('School Assumptions'!$B$44*(1-'School Assumptions'!$B$46)))*I3</f>
        <v>203173600</v>
      </c>
      <c r="J64" s="146">
        <f>(('School Assumptions'!$B$36*'School Assumptions'!$B$46)+('School Assumptions'!$B$44*(1-'School Assumptions'!$B$46)))*J3</f>
        <v>253967000</v>
      </c>
      <c r="K64" s="146">
        <f>(('School Assumptions'!$B$36*'School Assumptions'!$B$46)+('School Assumptions'!$B$44*(1-'School Assumptions'!$B$46)))*K3</f>
        <v>406347200</v>
      </c>
      <c r="L64" s="146">
        <f>(('School Assumptions'!$B$36*'School Assumptions'!$B$46)+('School Assumptions'!$B$44*(1-'School Assumptions'!$B$46)))*L3</f>
        <v>634917500</v>
      </c>
      <c r="M64" s="146">
        <f>(('School Assumptions'!$B$36*'School Assumptions'!$B$46)+('School Assumptions'!$B$44*(1-'School Assumptions'!$B$46)))*M3</f>
        <v>812694400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B65" s="1" t="s">
        <v>113</v>
      </c>
      <c r="C65" s="146">
        <f t="shared" ref="C65:M65" si="26">C64/C31</f>
        <v>50793.4</v>
      </c>
      <c r="D65" s="146">
        <f t="shared" si="26"/>
        <v>21988.48485</v>
      </c>
      <c r="E65" s="146">
        <f t="shared" si="26"/>
        <v>7292.663317</v>
      </c>
      <c r="F65" s="146">
        <f t="shared" si="26"/>
        <v>6806.941839</v>
      </c>
      <c r="G65" s="146">
        <f t="shared" si="26"/>
        <v>5455.789474</v>
      </c>
      <c r="H65" s="146">
        <f t="shared" si="26"/>
        <v>3846.042403</v>
      </c>
      <c r="I65" s="146">
        <f t="shared" si="26"/>
        <v>2902.48</v>
      </c>
      <c r="J65" s="146">
        <f t="shared" si="26"/>
        <v>2418.733333</v>
      </c>
      <c r="K65" s="146">
        <f t="shared" si="26"/>
        <v>2902.48</v>
      </c>
      <c r="L65" s="146">
        <f t="shared" si="26"/>
        <v>3205.035336</v>
      </c>
      <c r="M65" s="146">
        <f t="shared" si="26"/>
        <v>2733.353737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B66" s="1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B67" s="158" t="s">
        <v>11</v>
      </c>
      <c r="C67" s="159">
        <f t="shared" ref="C67:M67" si="27">C43-C64</f>
        <v>-1621036</v>
      </c>
      <c r="D67" s="159">
        <f t="shared" si="27"/>
        <v>-5415095</v>
      </c>
      <c r="E67" s="159">
        <f t="shared" si="27"/>
        <v>8287895</v>
      </c>
      <c r="F67" s="159">
        <f t="shared" si="27"/>
        <v>25822685</v>
      </c>
      <c r="G67" s="159">
        <f t="shared" si="27"/>
        <v>89594050</v>
      </c>
      <c r="H67" s="159">
        <f t="shared" si="27"/>
        <v>254418150</v>
      </c>
      <c r="I67" s="159">
        <f t="shared" si="27"/>
        <v>515551400</v>
      </c>
      <c r="J67" s="159">
        <f t="shared" si="27"/>
        <v>824120500</v>
      </c>
      <c r="K67" s="159">
        <f t="shared" si="27"/>
        <v>1031102800</v>
      </c>
      <c r="L67" s="159">
        <f t="shared" si="27"/>
        <v>1399074250</v>
      </c>
      <c r="M67" s="159">
        <f t="shared" si="27"/>
        <v>2240090038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B68" s="160" t="s">
        <v>85</v>
      </c>
      <c r="C68" s="161">
        <f t="shared" ref="C68:M68" si="28">C67/C31</f>
        <v>-40525.9</v>
      </c>
      <c r="D68" s="161">
        <f t="shared" si="28"/>
        <v>-11720.98485</v>
      </c>
      <c r="E68" s="161">
        <f t="shared" si="28"/>
        <v>2974.836683</v>
      </c>
      <c r="F68" s="161">
        <f t="shared" si="28"/>
        <v>3460.558161</v>
      </c>
      <c r="G68" s="161">
        <f t="shared" si="28"/>
        <v>4811.710526</v>
      </c>
      <c r="H68" s="161">
        <f t="shared" si="28"/>
        <v>6421.457597</v>
      </c>
      <c r="I68" s="161">
        <f t="shared" si="28"/>
        <v>7365.02</v>
      </c>
      <c r="J68" s="161">
        <f t="shared" si="28"/>
        <v>7848.766667</v>
      </c>
      <c r="K68" s="161">
        <f t="shared" si="28"/>
        <v>7365.02</v>
      </c>
      <c r="L68" s="161">
        <f t="shared" si="28"/>
        <v>7062.464664</v>
      </c>
      <c r="M68" s="161">
        <f t="shared" si="28"/>
        <v>7534.146263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B69" s="1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B70" s="5" t="s">
        <v>14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B71" s="20" t="s">
        <v>67</v>
      </c>
      <c r="C71" s="135">
        <f>C30*'School Assumptions'!$B$58</f>
        <v>3000</v>
      </c>
      <c r="D71" s="135">
        <f>D30*'School Assumptions'!$B$58</f>
        <v>434000</v>
      </c>
      <c r="E71" s="135">
        <f>E30*'School Assumptions'!$B$58</f>
        <v>2462000</v>
      </c>
      <c r="F71" s="135">
        <f>F30*'School Assumptions'!$B$58</f>
        <v>5504000</v>
      </c>
      <c r="G71" s="135">
        <f>G30*'School Assumptions'!$B$58</f>
        <v>13376000</v>
      </c>
      <c r="H71" s="135">
        <f>H30*'School Assumptions'!$B$58</f>
        <v>26535000</v>
      </c>
      <c r="I71" s="135">
        <f>I30*'School Assumptions'!$B$58</f>
        <v>42156000</v>
      </c>
      <c r="J71" s="135">
        <f>J30*'School Assumptions'!$B$58</f>
        <v>55806000</v>
      </c>
      <c r="K71" s="135">
        <f>K30*'School Assumptions'!$B$58</f>
        <v>66208000</v>
      </c>
      <c r="L71" s="135">
        <f>L30*'School Assumptions'!$B$58</f>
        <v>99711000</v>
      </c>
      <c r="M71" s="135">
        <f>M30*'School Assumptions'!$B$58</f>
        <v>158105000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B72" s="20" t="s">
        <v>68</v>
      </c>
      <c r="C72" s="135">
        <f>C30*'School Assumptions'!$B$59</f>
        <v>12000</v>
      </c>
      <c r="D72" s="135">
        <f>D30*'School Assumptions'!$B$59</f>
        <v>1736000</v>
      </c>
      <c r="E72" s="135">
        <f>E30*'School Assumptions'!$B$59</f>
        <v>9848000</v>
      </c>
      <c r="F72" s="135">
        <f>F30*'School Assumptions'!$B$59</f>
        <v>22016000</v>
      </c>
      <c r="G72" s="135">
        <f>G30*'School Assumptions'!$B$59</f>
        <v>53504000</v>
      </c>
      <c r="H72" s="135">
        <f>H30*'School Assumptions'!$B$59</f>
        <v>106140000</v>
      </c>
      <c r="I72" s="135">
        <f>I30*'School Assumptions'!$B$59</f>
        <v>168624000</v>
      </c>
      <c r="J72" s="135">
        <f>J30*'School Assumptions'!$B$59</f>
        <v>223224000</v>
      </c>
      <c r="K72" s="135">
        <f>K30*'School Assumptions'!$B$59</f>
        <v>264832000</v>
      </c>
      <c r="L72" s="135">
        <f>L30*'School Assumptions'!$B$59</f>
        <v>398844000</v>
      </c>
      <c r="M72" s="135">
        <f>M30*'School Assumptions'!$B$59</f>
        <v>632420000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B73" s="151" t="s">
        <v>17</v>
      </c>
      <c r="C73" s="162">
        <f t="shared" ref="C73:M73" si="29">C71+C72</f>
        <v>15000</v>
      </c>
      <c r="D73" s="162">
        <f t="shared" si="29"/>
        <v>2170000</v>
      </c>
      <c r="E73" s="162">
        <f t="shared" si="29"/>
        <v>12310000</v>
      </c>
      <c r="F73" s="162">
        <f t="shared" si="29"/>
        <v>27520000</v>
      </c>
      <c r="G73" s="162">
        <f t="shared" si="29"/>
        <v>66880000</v>
      </c>
      <c r="H73" s="162">
        <f t="shared" si="29"/>
        <v>132675000</v>
      </c>
      <c r="I73" s="162">
        <f t="shared" si="29"/>
        <v>210780000</v>
      </c>
      <c r="J73" s="162">
        <f t="shared" si="29"/>
        <v>279030000</v>
      </c>
      <c r="K73" s="162">
        <f t="shared" si="29"/>
        <v>331040000</v>
      </c>
      <c r="L73" s="162">
        <f t="shared" si="29"/>
        <v>498555000</v>
      </c>
      <c r="M73" s="162">
        <f t="shared" si="29"/>
        <v>790525000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B74" s="20"/>
      <c r="C74" s="14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B75" s="158" t="s">
        <v>116</v>
      </c>
      <c r="C75" s="163">
        <f t="shared" ref="C75:M75" si="30">C67-C73</f>
        <v>-1636036</v>
      </c>
      <c r="D75" s="163">
        <f t="shared" si="30"/>
        <v>-7585095</v>
      </c>
      <c r="E75" s="163">
        <f t="shared" si="30"/>
        <v>-4022105</v>
      </c>
      <c r="F75" s="163">
        <f t="shared" si="30"/>
        <v>-1697315</v>
      </c>
      <c r="G75" s="163">
        <f t="shared" si="30"/>
        <v>22714050</v>
      </c>
      <c r="H75" s="163">
        <f t="shared" si="30"/>
        <v>121743150</v>
      </c>
      <c r="I75" s="163">
        <f t="shared" si="30"/>
        <v>304771400</v>
      </c>
      <c r="J75" s="163">
        <f t="shared" si="30"/>
        <v>545090500</v>
      </c>
      <c r="K75" s="163">
        <f t="shared" si="30"/>
        <v>700062800</v>
      </c>
      <c r="L75" s="163">
        <f t="shared" si="30"/>
        <v>900519250</v>
      </c>
      <c r="M75" s="163">
        <f t="shared" si="30"/>
        <v>1449565038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B76" s="158" t="s">
        <v>117</v>
      </c>
      <c r="C76" s="163">
        <f t="shared" ref="C76:M76" si="31">C75-C52</f>
        <v>-4136036</v>
      </c>
      <c r="D76" s="163">
        <f t="shared" si="31"/>
        <v>-31685095</v>
      </c>
      <c r="E76" s="163">
        <f t="shared" si="31"/>
        <v>-55122105</v>
      </c>
      <c r="F76" s="163">
        <f t="shared" si="31"/>
        <v>-133797315</v>
      </c>
      <c r="G76" s="163">
        <f t="shared" si="31"/>
        <v>-244385950</v>
      </c>
      <c r="H76" s="163">
        <f t="shared" si="31"/>
        <v>-280356850</v>
      </c>
      <c r="I76" s="163">
        <f t="shared" si="31"/>
        <v>-232328600</v>
      </c>
      <c r="J76" s="163">
        <f t="shared" si="31"/>
        <v>-127009500</v>
      </c>
      <c r="K76" s="163">
        <f t="shared" si="31"/>
        <v>-377037200</v>
      </c>
      <c r="L76" s="163">
        <f t="shared" si="31"/>
        <v>-784080750</v>
      </c>
      <c r="M76" s="163">
        <f t="shared" si="31"/>
        <v>-707534962.5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B77" s="1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B78" s="164" t="s">
        <v>118</v>
      </c>
      <c r="C78" s="165">
        <f t="shared" ref="C78:M78" si="32">C75-C54</f>
        <v>-26636036</v>
      </c>
      <c r="D78" s="165">
        <f t="shared" si="32"/>
        <v>-267585095</v>
      </c>
      <c r="E78" s="165">
        <f t="shared" si="32"/>
        <v>-329022105</v>
      </c>
      <c r="F78" s="165">
        <f t="shared" si="32"/>
        <v>-976697315</v>
      </c>
      <c r="G78" s="165">
        <f t="shared" si="32"/>
        <v>-1602285950</v>
      </c>
      <c r="H78" s="165">
        <f t="shared" si="32"/>
        <v>-1503256850</v>
      </c>
      <c r="I78" s="165">
        <f t="shared" si="32"/>
        <v>-1320228600</v>
      </c>
      <c r="J78" s="165">
        <f t="shared" si="32"/>
        <v>-1079909500</v>
      </c>
      <c r="K78" s="165">
        <f t="shared" si="32"/>
        <v>-4174937200</v>
      </c>
      <c r="L78" s="165">
        <f t="shared" si="32"/>
        <v>-6411980750</v>
      </c>
      <c r="M78" s="165">
        <f t="shared" si="32"/>
        <v>-4237934963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B79" s="1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B80" s="5" t="s">
        <v>119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B81" s="1" t="s">
        <v>120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146">
        <f>M59</f>
        <v>21121100000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B82" s="1" t="s">
        <v>24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146">
        <f>(M75*17.5)+M81</f>
        <v>46488488156</v>
      </c>
    </row>
    <row r="83">
      <c r="B83" s="1" t="s">
        <v>23</v>
      </c>
      <c r="C83" s="146">
        <f t="shared" ref="C83:L83" si="33">C75-C54</f>
        <v>-26636036</v>
      </c>
      <c r="D83" s="146">
        <f t="shared" si="33"/>
        <v>-267585095</v>
      </c>
      <c r="E83" s="146">
        <f t="shared" si="33"/>
        <v>-329022105</v>
      </c>
      <c r="F83" s="146">
        <f t="shared" si="33"/>
        <v>-976697315</v>
      </c>
      <c r="G83" s="146">
        <f t="shared" si="33"/>
        <v>-1602285950</v>
      </c>
      <c r="H83" s="146">
        <f t="shared" si="33"/>
        <v>-1503256850</v>
      </c>
      <c r="I83" s="146">
        <f t="shared" si="33"/>
        <v>-1320228600</v>
      </c>
      <c r="J83" s="146">
        <f t="shared" si="33"/>
        <v>-1079909500</v>
      </c>
      <c r="K83" s="146">
        <f t="shared" si="33"/>
        <v>-4174937200</v>
      </c>
      <c r="L83" s="146">
        <f t="shared" si="33"/>
        <v>-6411980750</v>
      </c>
      <c r="M83" s="146">
        <f>M82</f>
        <v>46488488156</v>
      </c>
    </row>
    <row r="84">
      <c r="B84" s="1" t="s">
        <v>121</v>
      </c>
      <c r="C84" s="166">
        <f>IRR(C83:M83)</f>
        <v>0.2976727965</v>
      </c>
      <c r="D84" s="2"/>
      <c r="E84" s="2"/>
      <c r="F84" s="2"/>
      <c r="G84" s="2"/>
      <c r="H84" s="2"/>
      <c r="I84" s="2"/>
      <c r="J84" s="2"/>
      <c r="K84" s="2"/>
      <c r="L84" s="2"/>
      <c r="M84" s="2"/>
    </row>
  </sheetData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0.38"/>
    <col customWidth="1" min="2" max="2" width="22.38"/>
  </cols>
  <sheetData>
    <row r="1">
      <c r="B1" s="87" t="s">
        <v>122</v>
      </c>
    </row>
    <row r="2">
      <c r="B2" s="3" t="s">
        <v>1</v>
      </c>
      <c r="C2" s="51" t="s">
        <v>41</v>
      </c>
      <c r="D2" s="51" t="s">
        <v>42</v>
      </c>
      <c r="E2" s="51" t="s">
        <v>43</v>
      </c>
      <c r="F2" s="51" t="s">
        <v>44</v>
      </c>
      <c r="G2" s="51" t="s">
        <v>45</v>
      </c>
      <c r="H2" s="51" t="s">
        <v>46</v>
      </c>
      <c r="I2" s="51" t="s">
        <v>47</v>
      </c>
      <c r="J2" s="51" t="s">
        <v>48</v>
      </c>
      <c r="K2" s="51" t="s">
        <v>49</v>
      </c>
      <c r="L2" s="51" t="s">
        <v>50</v>
      </c>
      <c r="M2" s="51" t="s">
        <v>51</v>
      </c>
    </row>
    <row r="3">
      <c r="B3" s="52" t="s">
        <v>72</v>
      </c>
      <c r="C3" s="123">
        <v>0.0</v>
      </c>
      <c r="D3" s="123">
        <v>0.0</v>
      </c>
      <c r="E3" s="123">
        <v>0.0</v>
      </c>
      <c r="F3" s="123">
        <v>1.0</v>
      </c>
      <c r="G3" s="123">
        <v>1.0</v>
      </c>
      <c r="H3" s="123">
        <v>2.0</v>
      </c>
      <c r="I3" s="123">
        <v>2.0</v>
      </c>
      <c r="J3" s="123">
        <v>3.0</v>
      </c>
      <c r="K3" s="123">
        <v>3.0</v>
      </c>
      <c r="L3" s="123">
        <v>4.0</v>
      </c>
      <c r="M3" s="123">
        <v>4.0</v>
      </c>
    </row>
    <row r="4">
      <c r="B4" s="54" t="s">
        <v>78</v>
      </c>
      <c r="C4" s="53">
        <f>'School Assumptions'!$B$65</f>
        <v>1500</v>
      </c>
      <c r="D4" s="53">
        <f>'School Assumptions'!$B$65</f>
        <v>1500</v>
      </c>
      <c r="E4" s="53">
        <f>'School Assumptions'!$B$65</f>
        <v>1500</v>
      </c>
      <c r="F4" s="53">
        <f>'School Assumptions'!$B$65</f>
        <v>1500</v>
      </c>
      <c r="G4" s="53">
        <f>'School Assumptions'!$B$65</f>
        <v>1500</v>
      </c>
      <c r="H4" s="53">
        <f>'School Assumptions'!$B$65</f>
        <v>1500</v>
      </c>
      <c r="I4" s="53">
        <f>'School Assumptions'!$B$65</f>
        <v>1500</v>
      </c>
      <c r="J4" s="53">
        <f>'School Assumptions'!$B$65</f>
        <v>1500</v>
      </c>
      <c r="K4" s="53">
        <f>'School Assumptions'!$B$65</f>
        <v>1500</v>
      </c>
      <c r="L4" s="53">
        <f>'School Assumptions'!$B$65</f>
        <v>1500</v>
      </c>
      <c r="M4" s="53">
        <f>'School Assumptions'!$B$65</f>
        <v>1500</v>
      </c>
    </row>
    <row r="5">
      <c r="B5" s="52" t="s">
        <v>54</v>
      </c>
      <c r="C5" s="124">
        <f>'School Assumptions'!$B$79</f>
        <v>0.075</v>
      </c>
      <c r="D5" s="124">
        <f>'School Assumptions'!$B$79</f>
        <v>0.075</v>
      </c>
      <c r="E5" s="124">
        <f>'School Assumptions'!$B$79</f>
        <v>0.075</v>
      </c>
      <c r="F5" s="124">
        <f>'School Assumptions'!$B$79</f>
        <v>0.075</v>
      </c>
      <c r="G5" s="124">
        <f>'School Assumptions'!$B$79</f>
        <v>0.075</v>
      </c>
      <c r="H5" s="124">
        <f>'School Assumptions'!$B$79</f>
        <v>0.075</v>
      </c>
      <c r="I5" s="124">
        <f>'School Assumptions'!$B$79</f>
        <v>0.075</v>
      </c>
      <c r="J5" s="124">
        <f>'School Assumptions'!$B$79</f>
        <v>0.075</v>
      </c>
      <c r="K5" s="124">
        <f>'School Assumptions'!$B$79</f>
        <v>0.075</v>
      </c>
      <c r="L5" s="124">
        <f>'School Assumptions'!$B$79</f>
        <v>0.075</v>
      </c>
      <c r="M5" s="124">
        <f>'School Assumptions'!$B$79</f>
        <v>0.075</v>
      </c>
    </row>
    <row r="6">
      <c r="B6" s="52" t="s">
        <v>55</v>
      </c>
      <c r="C6" s="125">
        <f>'School Assumptions'!$B$78</f>
        <v>6.5</v>
      </c>
      <c r="D6" s="125">
        <f>'School Assumptions'!$B$78</f>
        <v>6.5</v>
      </c>
      <c r="E6" s="125">
        <f>'School Assumptions'!$B$78</f>
        <v>6.5</v>
      </c>
      <c r="F6" s="125">
        <f>'School Assumptions'!$B$78</f>
        <v>6.5</v>
      </c>
      <c r="G6" s="125">
        <f>'School Assumptions'!$B$78</f>
        <v>6.5</v>
      </c>
      <c r="H6" s="125">
        <f>'School Assumptions'!$B$78</f>
        <v>6.5</v>
      </c>
      <c r="I6" s="125">
        <f>'School Assumptions'!$B$78</f>
        <v>6.5</v>
      </c>
      <c r="J6" s="125">
        <f>'School Assumptions'!$B$78</f>
        <v>6.5</v>
      </c>
      <c r="K6" s="125">
        <f>'School Assumptions'!$B$78</f>
        <v>6.5</v>
      </c>
      <c r="L6" s="125">
        <f>'School Assumptions'!$B$78</f>
        <v>6.5</v>
      </c>
      <c r="M6" s="125">
        <f>'School Assumptions'!$B$78</f>
        <v>6.5</v>
      </c>
    </row>
    <row r="8">
      <c r="B8" s="96" t="s">
        <v>79</v>
      </c>
      <c r="C8" s="97"/>
      <c r="D8" s="97"/>
      <c r="E8" s="97"/>
      <c r="F8" s="97"/>
      <c r="G8" s="97"/>
      <c r="H8" s="97"/>
      <c r="I8" s="97"/>
      <c r="J8" s="97"/>
      <c r="K8" s="97"/>
      <c r="L8" s="97"/>
      <c r="M8" s="97"/>
    </row>
    <row r="9">
      <c r="B9" s="98" t="s">
        <v>53</v>
      </c>
      <c r="C9" s="126">
        <f>'School Assumptions'!$B$64</f>
        <v>50000</v>
      </c>
      <c r="D9" s="126">
        <f>'School Assumptions'!$B$64</f>
        <v>50000</v>
      </c>
      <c r="E9" s="126">
        <f>'School Assumptions'!$B$64</f>
        <v>50000</v>
      </c>
      <c r="F9" s="126">
        <f>'School Assumptions'!$B$64</f>
        <v>50000</v>
      </c>
      <c r="G9" s="126">
        <f>'School Assumptions'!$B$64</f>
        <v>50000</v>
      </c>
      <c r="H9" s="126">
        <f>'School Assumptions'!$B$64</f>
        <v>50000</v>
      </c>
      <c r="I9" s="126">
        <f>'School Assumptions'!$B$64</f>
        <v>50000</v>
      </c>
      <c r="J9" s="126">
        <f>'School Assumptions'!$B$64</f>
        <v>50000</v>
      </c>
      <c r="K9" s="126">
        <f>'School Assumptions'!$B$64</f>
        <v>50000</v>
      </c>
      <c r="L9" s="126">
        <f>'School Assumptions'!$B$64</f>
        <v>50000</v>
      </c>
      <c r="M9" s="126">
        <f>'School Assumptions'!$B$64</f>
        <v>50000</v>
      </c>
    </row>
    <row r="10">
      <c r="B10" s="52" t="s">
        <v>62</v>
      </c>
      <c r="C10" s="55">
        <f>'Headcount Assumptions'!$C$43+'Headcount Assumptions'!$C$44</f>
        <v>5244</v>
      </c>
      <c r="D10" s="55">
        <f>'Headcount Assumptions'!$C$43+'Headcount Assumptions'!$C$44</f>
        <v>5244</v>
      </c>
      <c r="E10" s="55">
        <f>'Headcount Assumptions'!$C$43+'Headcount Assumptions'!$C$44</f>
        <v>5244</v>
      </c>
      <c r="F10" s="55">
        <f>'Headcount Assumptions'!$C$43+'Headcount Assumptions'!$C$44</f>
        <v>5244</v>
      </c>
      <c r="G10" s="55">
        <f>'Headcount Assumptions'!$C$43+'Headcount Assumptions'!$C$44</f>
        <v>5244</v>
      </c>
      <c r="H10" s="55">
        <f>'Headcount Assumptions'!$C$43+'Headcount Assumptions'!$C$44</f>
        <v>5244</v>
      </c>
      <c r="I10" s="55">
        <f>'Headcount Assumptions'!$C$43+'Headcount Assumptions'!$C$44</f>
        <v>5244</v>
      </c>
      <c r="J10" s="55">
        <f>'Headcount Assumptions'!$C$43+'Headcount Assumptions'!$C$44</f>
        <v>5244</v>
      </c>
      <c r="K10" s="55">
        <f>'Headcount Assumptions'!$C$43+'Headcount Assumptions'!$C$44</f>
        <v>5244</v>
      </c>
      <c r="L10" s="55">
        <f>'Headcount Assumptions'!$C$43+'Headcount Assumptions'!$C$44</f>
        <v>5244</v>
      </c>
      <c r="M10" s="55">
        <f>'Headcount Assumptions'!$C$43+'Headcount Assumptions'!$C$44</f>
        <v>5244</v>
      </c>
    </row>
    <row r="11">
      <c r="B11" s="52" t="s">
        <v>91</v>
      </c>
      <c r="C11" s="95">
        <f>'Headcount Assumptions'!$D$13+'Headcount Assumptions'!$D$14</f>
        <v>2500</v>
      </c>
      <c r="D11" s="95">
        <f>'Headcount Assumptions'!$D$13+'Headcount Assumptions'!$D$14</f>
        <v>2500</v>
      </c>
      <c r="E11" s="95">
        <f>'Headcount Assumptions'!$D$13+'Headcount Assumptions'!$D$14</f>
        <v>2500</v>
      </c>
      <c r="F11" s="95">
        <f>'Headcount Assumptions'!$D$13+'Headcount Assumptions'!$D$14</f>
        <v>2500</v>
      </c>
      <c r="G11" s="95">
        <f>'Headcount Assumptions'!$D$13+'Headcount Assumptions'!$D$14</f>
        <v>2500</v>
      </c>
      <c r="H11" s="95">
        <f>'Headcount Assumptions'!$D$13+'Headcount Assumptions'!$D$14</f>
        <v>2500</v>
      </c>
      <c r="I11" s="95">
        <f>'Headcount Assumptions'!$D$13+'Headcount Assumptions'!$D$14</f>
        <v>2500</v>
      </c>
      <c r="J11" s="95">
        <f>'Headcount Assumptions'!$D$13+'Headcount Assumptions'!$D$14</f>
        <v>2500</v>
      </c>
      <c r="K11" s="95">
        <f>'Headcount Assumptions'!$D$13+'Headcount Assumptions'!$D$14</f>
        <v>2500</v>
      </c>
      <c r="L11" s="95">
        <f>'Headcount Assumptions'!$D$13+'Headcount Assumptions'!$D$14</f>
        <v>2500</v>
      </c>
      <c r="M11" s="95">
        <f>'Headcount Assumptions'!$D$13+'Headcount Assumptions'!$D$14</f>
        <v>2500</v>
      </c>
    </row>
    <row r="12">
      <c r="B12" s="54" t="s">
        <v>83</v>
      </c>
      <c r="C12" s="95">
        <v>1250.0</v>
      </c>
      <c r="D12" s="95">
        <v>1250.0</v>
      </c>
      <c r="E12" s="95">
        <v>1250.0</v>
      </c>
      <c r="F12" s="95">
        <v>1250.0</v>
      </c>
      <c r="G12" s="95">
        <v>1250.0</v>
      </c>
      <c r="H12" s="95">
        <v>1250.0</v>
      </c>
      <c r="I12" s="95">
        <v>1250.0</v>
      </c>
      <c r="J12" s="95">
        <v>1250.0</v>
      </c>
      <c r="K12" s="95">
        <v>1250.0</v>
      </c>
      <c r="L12" s="95">
        <v>1250.0</v>
      </c>
      <c r="M12" s="95">
        <v>1250.0</v>
      </c>
    </row>
    <row r="13">
      <c r="B13" s="52" t="s">
        <v>10</v>
      </c>
      <c r="C13" s="55">
        <v>10000.0</v>
      </c>
      <c r="D13" s="55">
        <v>10000.0</v>
      </c>
      <c r="E13" s="55">
        <v>10000.0</v>
      </c>
      <c r="F13" s="55">
        <v>10000.0</v>
      </c>
      <c r="G13" s="55">
        <v>10000.0</v>
      </c>
      <c r="H13" s="55">
        <v>10000.0</v>
      </c>
      <c r="I13" s="55">
        <v>10000.0</v>
      </c>
      <c r="J13" s="55">
        <v>10000.0</v>
      </c>
      <c r="K13" s="55">
        <v>10000.0</v>
      </c>
      <c r="L13" s="55">
        <v>10000.0</v>
      </c>
      <c r="M13" s="55">
        <v>10000.0</v>
      </c>
    </row>
    <row r="14">
      <c r="B14" s="167" t="s">
        <v>84</v>
      </c>
      <c r="C14" s="101">
        <f t="shared" ref="C14:M14" si="1">SUM(C10:C13)</f>
        <v>18994</v>
      </c>
      <c r="D14" s="101">
        <f t="shared" si="1"/>
        <v>18994</v>
      </c>
      <c r="E14" s="101">
        <f t="shared" si="1"/>
        <v>18994</v>
      </c>
      <c r="F14" s="101">
        <f t="shared" si="1"/>
        <v>18994</v>
      </c>
      <c r="G14" s="101">
        <f t="shared" si="1"/>
        <v>18994</v>
      </c>
      <c r="H14" s="101">
        <f t="shared" si="1"/>
        <v>18994</v>
      </c>
      <c r="I14" s="101">
        <f t="shared" si="1"/>
        <v>18994</v>
      </c>
      <c r="J14" s="101">
        <f t="shared" si="1"/>
        <v>18994</v>
      </c>
      <c r="K14" s="101">
        <f t="shared" si="1"/>
        <v>18994</v>
      </c>
      <c r="L14" s="101">
        <f t="shared" si="1"/>
        <v>18994</v>
      </c>
      <c r="M14" s="101">
        <f t="shared" si="1"/>
        <v>18994</v>
      </c>
    </row>
    <row r="15">
      <c r="B15" s="160" t="s">
        <v>92</v>
      </c>
      <c r="C15" s="161">
        <f t="shared" ref="C15:M15" si="2">C9-C14</f>
        <v>31006</v>
      </c>
      <c r="D15" s="161">
        <f t="shared" si="2"/>
        <v>31006</v>
      </c>
      <c r="E15" s="161">
        <f t="shared" si="2"/>
        <v>31006</v>
      </c>
      <c r="F15" s="161">
        <f t="shared" si="2"/>
        <v>31006</v>
      </c>
      <c r="G15" s="161">
        <f t="shared" si="2"/>
        <v>31006</v>
      </c>
      <c r="H15" s="161">
        <f t="shared" si="2"/>
        <v>31006</v>
      </c>
      <c r="I15" s="161">
        <f t="shared" si="2"/>
        <v>31006</v>
      </c>
      <c r="J15" s="161">
        <f t="shared" si="2"/>
        <v>31006</v>
      </c>
      <c r="K15" s="161">
        <f t="shared" si="2"/>
        <v>31006</v>
      </c>
      <c r="L15" s="161">
        <f t="shared" si="2"/>
        <v>31006</v>
      </c>
      <c r="M15" s="161">
        <f t="shared" si="2"/>
        <v>31006</v>
      </c>
    </row>
    <row r="16">
      <c r="B16" s="119" t="s">
        <v>13</v>
      </c>
      <c r="C16" s="168">
        <f t="shared" ref="C16:M16" si="3">C15/C9</f>
        <v>0.62012</v>
      </c>
      <c r="D16" s="168">
        <f t="shared" si="3"/>
        <v>0.62012</v>
      </c>
      <c r="E16" s="168">
        <f t="shared" si="3"/>
        <v>0.62012</v>
      </c>
      <c r="F16" s="168">
        <f t="shared" si="3"/>
        <v>0.62012</v>
      </c>
      <c r="G16" s="168">
        <f t="shared" si="3"/>
        <v>0.62012</v>
      </c>
      <c r="H16" s="168">
        <f t="shared" si="3"/>
        <v>0.62012</v>
      </c>
      <c r="I16" s="168">
        <f t="shared" si="3"/>
        <v>0.62012</v>
      </c>
      <c r="J16" s="168">
        <f t="shared" si="3"/>
        <v>0.62012</v>
      </c>
      <c r="K16" s="168">
        <f t="shared" si="3"/>
        <v>0.62012</v>
      </c>
      <c r="L16" s="168">
        <f t="shared" si="3"/>
        <v>0.62012</v>
      </c>
      <c r="M16" s="168">
        <f t="shared" si="3"/>
        <v>0.62012</v>
      </c>
    </row>
    <row r="17">
      <c r="B17" s="107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</row>
    <row r="18">
      <c r="B18" s="109" t="s">
        <v>87</v>
      </c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</row>
    <row r="19">
      <c r="B19" s="110" t="s">
        <v>88</v>
      </c>
      <c r="C19" s="53">
        <v>0.0</v>
      </c>
      <c r="D19" s="65">
        <f t="shared" ref="D19:M19" si="4">C25</f>
        <v>0</v>
      </c>
      <c r="E19" s="65">
        <f t="shared" si="4"/>
        <v>0</v>
      </c>
      <c r="F19" s="65">
        <f t="shared" si="4"/>
        <v>0</v>
      </c>
      <c r="G19" s="65">
        <f t="shared" si="4"/>
        <v>1</v>
      </c>
      <c r="H19" s="65">
        <f t="shared" si="4"/>
        <v>1</v>
      </c>
      <c r="I19" s="65">
        <f t="shared" si="4"/>
        <v>2</v>
      </c>
      <c r="J19" s="65">
        <f t="shared" si="4"/>
        <v>2</v>
      </c>
      <c r="K19" s="65">
        <f t="shared" si="4"/>
        <v>3</v>
      </c>
      <c r="L19" s="65">
        <f t="shared" si="4"/>
        <v>3</v>
      </c>
      <c r="M19" s="65">
        <f t="shared" si="4"/>
        <v>4</v>
      </c>
    </row>
    <row r="20">
      <c r="B20" s="111" t="s">
        <v>89</v>
      </c>
      <c r="C20" s="65">
        <f t="shared" ref="C20:M20" si="5">C25-C19</f>
        <v>0</v>
      </c>
      <c r="D20" s="65">
        <f t="shared" si="5"/>
        <v>0</v>
      </c>
      <c r="E20" s="65">
        <f t="shared" si="5"/>
        <v>0</v>
      </c>
      <c r="F20" s="65">
        <f t="shared" si="5"/>
        <v>1</v>
      </c>
      <c r="G20" s="65">
        <f t="shared" si="5"/>
        <v>0</v>
      </c>
      <c r="H20" s="65">
        <f t="shared" si="5"/>
        <v>1</v>
      </c>
      <c r="I20" s="65">
        <f t="shared" si="5"/>
        <v>0</v>
      </c>
      <c r="J20" s="65">
        <f t="shared" si="5"/>
        <v>1</v>
      </c>
      <c r="K20" s="65">
        <f t="shared" si="5"/>
        <v>0</v>
      </c>
      <c r="L20" s="65">
        <f t="shared" si="5"/>
        <v>1</v>
      </c>
      <c r="M20" s="65">
        <f t="shared" si="5"/>
        <v>0</v>
      </c>
    </row>
    <row r="21">
      <c r="B21" s="52" t="s">
        <v>93</v>
      </c>
      <c r="C21" s="65"/>
      <c r="D21" s="65">
        <f t="shared" ref="D21:M21" si="6">C20</f>
        <v>0</v>
      </c>
      <c r="E21" s="65">
        <f t="shared" si="6"/>
        <v>0</v>
      </c>
      <c r="F21" s="65">
        <f t="shared" si="6"/>
        <v>0</v>
      </c>
      <c r="G21" s="65">
        <f t="shared" si="6"/>
        <v>1</v>
      </c>
      <c r="H21" s="65">
        <f t="shared" si="6"/>
        <v>0</v>
      </c>
      <c r="I21" s="65">
        <f t="shared" si="6"/>
        <v>1</v>
      </c>
      <c r="J21" s="65">
        <f t="shared" si="6"/>
        <v>0</v>
      </c>
      <c r="K21" s="65">
        <f t="shared" si="6"/>
        <v>1</v>
      </c>
      <c r="L21" s="65">
        <f t="shared" si="6"/>
        <v>0</v>
      </c>
      <c r="M21" s="65">
        <f t="shared" si="6"/>
        <v>1</v>
      </c>
    </row>
    <row r="22">
      <c r="B22" s="52" t="s">
        <v>94</v>
      </c>
      <c r="C22" s="65"/>
      <c r="D22" s="65" t="str">
        <f t="shared" ref="D22:M22" si="7">C21</f>
        <v/>
      </c>
      <c r="E22" s="65">
        <f t="shared" si="7"/>
        <v>0</v>
      </c>
      <c r="F22" s="65">
        <f t="shared" si="7"/>
        <v>0</v>
      </c>
      <c r="G22" s="65">
        <f t="shared" si="7"/>
        <v>0</v>
      </c>
      <c r="H22" s="65">
        <f t="shared" si="7"/>
        <v>1</v>
      </c>
      <c r="I22" s="65">
        <f t="shared" si="7"/>
        <v>0</v>
      </c>
      <c r="J22" s="65">
        <f t="shared" si="7"/>
        <v>1</v>
      </c>
      <c r="K22" s="65">
        <f t="shared" si="7"/>
        <v>0</v>
      </c>
      <c r="L22" s="65">
        <f t="shared" si="7"/>
        <v>1</v>
      </c>
      <c r="M22" s="65">
        <f t="shared" si="7"/>
        <v>0</v>
      </c>
    </row>
    <row r="23">
      <c r="B23" s="52" t="s">
        <v>95</v>
      </c>
      <c r="C23" s="65"/>
      <c r="D23" s="65" t="str">
        <f t="shared" ref="D23:M23" si="8">C22</f>
        <v/>
      </c>
      <c r="E23" s="65" t="str">
        <f t="shared" si="8"/>
        <v/>
      </c>
      <c r="F23" s="65">
        <f t="shared" si="8"/>
        <v>0</v>
      </c>
      <c r="G23" s="65">
        <f t="shared" si="8"/>
        <v>0</v>
      </c>
      <c r="H23" s="65">
        <f t="shared" si="8"/>
        <v>0</v>
      </c>
      <c r="I23" s="65">
        <f t="shared" si="8"/>
        <v>1</v>
      </c>
      <c r="J23" s="65">
        <f t="shared" si="8"/>
        <v>0</v>
      </c>
      <c r="K23" s="65">
        <f t="shared" si="8"/>
        <v>1</v>
      </c>
      <c r="L23" s="65">
        <f t="shared" si="8"/>
        <v>0</v>
      </c>
      <c r="M23" s="65">
        <f t="shared" si="8"/>
        <v>1</v>
      </c>
    </row>
    <row r="24">
      <c r="B24" s="52" t="s">
        <v>123</v>
      </c>
      <c r="C24" s="53"/>
      <c r="D24" s="65"/>
      <c r="E24" s="65"/>
      <c r="F24" s="65"/>
      <c r="G24" s="65"/>
      <c r="H24" s="65"/>
      <c r="I24" s="65"/>
      <c r="J24" s="65">
        <f>I23</f>
        <v>1</v>
      </c>
      <c r="K24" s="65">
        <f t="shared" ref="K24:M24" si="9">J24+J23</f>
        <v>1</v>
      </c>
      <c r="L24" s="65">
        <f t="shared" si="9"/>
        <v>2</v>
      </c>
      <c r="M24" s="65">
        <f t="shared" si="9"/>
        <v>2</v>
      </c>
    </row>
    <row r="25">
      <c r="B25" s="169" t="s">
        <v>90</v>
      </c>
      <c r="C25" s="170">
        <f t="shared" ref="C25:M25" si="10">C3</f>
        <v>0</v>
      </c>
      <c r="D25" s="171">
        <f t="shared" si="10"/>
        <v>0</v>
      </c>
      <c r="E25" s="171">
        <f t="shared" si="10"/>
        <v>0</v>
      </c>
      <c r="F25" s="171">
        <f t="shared" si="10"/>
        <v>1</v>
      </c>
      <c r="G25" s="171">
        <f t="shared" si="10"/>
        <v>1</v>
      </c>
      <c r="H25" s="171">
        <f t="shared" si="10"/>
        <v>2</v>
      </c>
      <c r="I25" s="171">
        <f t="shared" si="10"/>
        <v>2</v>
      </c>
      <c r="J25" s="171">
        <f t="shared" si="10"/>
        <v>3</v>
      </c>
      <c r="K25" s="171">
        <f t="shared" si="10"/>
        <v>3</v>
      </c>
      <c r="L25" s="171">
        <f t="shared" si="10"/>
        <v>4</v>
      </c>
      <c r="M25" s="171">
        <f t="shared" si="10"/>
        <v>4</v>
      </c>
    </row>
    <row r="26">
      <c r="B26" s="107"/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M26" s="108"/>
    </row>
    <row r="27">
      <c r="B27" s="62" t="s">
        <v>56</v>
      </c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</row>
    <row r="28">
      <c r="B28" s="64" t="s">
        <v>57</v>
      </c>
      <c r="C28" s="53">
        <v>0.0</v>
      </c>
      <c r="D28" s="65">
        <f t="shared" ref="D28:M28" si="11">C32</f>
        <v>0</v>
      </c>
      <c r="E28" s="65">
        <f t="shared" si="11"/>
        <v>0</v>
      </c>
      <c r="F28" s="65">
        <f t="shared" si="11"/>
        <v>0</v>
      </c>
      <c r="G28" s="65">
        <f t="shared" si="11"/>
        <v>0</v>
      </c>
      <c r="H28" s="65">
        <f t="shared" si="11"/>
        <v>0</v>
      </c>
      <c r="I28" s="65">
        <f t="shared" si="11"/>
        <v>495</v>
      </c>
      <c r="J28" s="65">
        <f t="shared" si="11"/>
        <v>1005</v>
      </c>
      <c r="K28" s="65">
        <f t="shared" si="11"/>
        <v>1995</v>
      </c>
      <c r="L28" s="65">
        <f t="shared" si="11"/>
        <v>2505</v>
      </c>
      <c r="M28" s="65">
        <f t="shared" si="11"/>
        <v>3495</v>
      </c>
    </row>
    <row r="29">
      <c r="B29" s="52" t="s">
        <v>54</v>
      </c>
      <c r="C29" s="65">
        <f t="shared" ref="C29:M29" si="12">ROUND(-C28*$C5,0)</f>
        <v>0</v>
      </c>
      <c r="D29" s="65">
        <f t="shared" si="12"/>
        <v>0</v>
      </c>
      <c r="E29" s="65">
        <f t="shared" si="12"/>
        <v>0</v>
      </c>
      <c r="F29" s="65">
        <f t="shared" si="12"/>
        <v>0</v>
      </c>
      <c r="G29" s="65">
        <f t="shared" si="12"/>
        <v>0</v>
      </c>
      <c r="H29" s="65">
        <f t="shared" si="12"/>
        <v>0</v>
      </c>
      <c r="I29" s="65">
        <f t="shared" si="12"/>
        <v>-37</v>
      </c>
      <c r="J29" s="65">
        <f t="shared" si="12"/>
        <v>-75</v>
      </c>
      <c r="K29" s="65">
        <f t="shared" si="12"/>
        <v>-150</v>
      </c>
      <c r="L29" s="65">
        <f t="shared" si="12"/>
        <v>-188</v>
      </c>
      <c r="M29" s="65">
        <f t="shared" si="12"/>
        <v>-262</v>
      </c>
    </row>
    <row r="30">
      <c r="B30" s="56" t="s">
        <v>58</v>
      </c>
      <c r="C30" s="66"/>
      <c r="D30" s="172">
        <f>ROUND(-C32/'School Assumptions'!$B$78,0)</f>
        <v>0</v>
      </c>
      <c r="E30" s="172">
        <f>-D32/'School Assumptions'!$B$78</f>
        <v>0</v>
      </c>
      <c r="F30" s="172">
        <f>-E32/'School Assumptions'!$B$78</f>
        <v>0</v>
      </c>
      <c r="G30" s="172">
        <f>-F32/'School Assumptions'!$B$78</f>
        <v>0</v>
      </c>
      <c r="H30" s="172">
        <f>-G32/'School Assumptions'!$B$78</f>
        <v>0</v>
      </c>
      <c r="I30" s="172">
        <f>-H32/'School Assumptions'!$B$78</f>
        <v>-76.15384615</v>
      </c>
      <c r="J30" s="172">
        <f>-I32/'School Assumptions'!$B$78</f>
        <v>-154.6153846</v>
      </c>
      <c r="K30" s="172">
        <f>-J32/'School Assumptions'!$B$78</f>
        <v>-306.9230769</v>
      </c>
      <c r="L30" s="172">
        <f>-K32/'School Assumptions'!$B$78</f>
        <v>-385.3846154</v>
      </c>
      <c r="M30" s="172">
        <f>-L32/'School Assumptions'!$B$78</f>
        <v>-537.6923077</v>
      </c>
    </row>
    <row r="31">
      <c r="B31" s="68" t="s">
        <v>59</v>
      </c>
      <c r="C31" s="66">
        <f>C32-(C28+C29)</f>
        <v>0</v>
      </c>
      <c r="D31" s="66">
        <f t="shared" ref="D31:M31" si="13">D32-(D28+D29+D30)</f>
        <v>0</v>
      </c>
      <c r="E31" s="66">
        <f t="shared" si="13"/>
        <v>0</v>
      </c>
      <c r="F31" s="66">
        <f t="shared" si="13"/>
        <v>0</v>
      </c>
      <c r="G31" s="66">
        <f t="shared" si="13"/>
        <v>0</v>
      </c>
      <c r="H31" s="66">
        <f t="shared" si="13"/>
        <v>495</v>
      </c>
      <c r="I31" s="66">
        <f t="shared" si="13"/>
        <v>623.1538462</v>
      </c>
      <c r="J31" s="66">
        <f t="shared" si="13"/>
        <v>1219.615385</v>
      </c>
      <c r="K31" s="66">
        <f t="shared" si="13"/>
        <v>966.9230769</v>
      </c>
      <c r="L31" s="66">
        <f t="shared" si="13"/>
        <v>1563.384615</v>
      </c>
      <c r="M31" s="66">
        <f t="shared" si="13"/>
        <v>1309.692308</v>
      </c>
    </row>
    <row r="32">
      <c r="B32" s="173" t="s">
        <v>60</v>
      </c>
      <c r="C32" s="174">
        <f>('School Assumptions'!$B$72*C20*C4)+('School Assumptions'!$B$73*C21*C4)+('School Assumptions'!$B$74*C22*C4)+('School Assumptions'!$B$75*C23*C4)+('School Assumptions'!$B$76*C24*C4)</f>
        <v>0</v>
      </c>
      <c r="D32" s="174">
        <f>('School Assumptions'!$B$72*D20*D4)+('School Assumptions'!$B$73*D21*D4)+('School Assumptions'!$B$74*D22*D4)+('School Assumptions'!$B$75*D23*D4)+('School Assumptions'!$B$76*D24*D4)</f>
        <v>0</v>
      </c>
      <c r="E32" s="174">
        <f>('School Assumptions'!$B$72*E20*E4)+('School Assumptions'!$B$73*E21*E4)+('School Assumptions'!$B$74*E22*E4)+('School Assumptions'!$B$75*E23*E4)+('School Assumptions'!$B$76*E24*E4)</f>
        <v>0</v>
      </c>
      <c r="F32" s="174">
        <f>('School Assumptions'!$B$72*F20*F4)+('School Assumptions'!$B$73*F21*F4)+('School Assumptions'!$B$74*F22*F4)+('School Assumptions'!$B$75*F23*F4)+('School Assumptions'!$B$76*F24*F4)</f>
        <v>0</v>
      </c>
      <c r="G32" s="174">
        <f>('School Assumptions'!$B$72*G20*G4)+('School Assumptions'!$B$73*G21*G4)+('School Assumptions'!$B$74*G22*G4)+('School Assumptions'!$B$75*G23*G4)+('School Assumptions'!$B$76*G24*G4)</f>
        <v>0</v>
      </c>
      <c r="H32" s="174">
        <f>('School Assumptions'!$B$72*H20*H4)+('School Assumptions'!$B$73*H21*H4)+('School Assumptions'!$B$74*H22*H4)+('School Assumptions'!$B$75*H23*H4)+('School Assumptions'!$B$76*H24*H4)</f>
        <v>495</v>
      </c>
      <c r="I32" s="174">
        <f>('School Assumptions'!$B$72*I20*I4)+('School Assumptions'!$B$73*I21*I4)+('School Assumptions'!$B$74*I22*I4)+('School Assumptions'!$B$75*I23*I4)+('School Assumptions'!$B$76*I24*I4)</f>
        <v>1005</v>
      </c>
      <c r="J32" s="174">
        <f>('School Assumptions'!$B$72*J20*J4)+('School Assumptions'!$B$73*J21*J4)+('School Assumptions'!$B$74*J22*J4)+('School Assumptions'!$B$75*J23*J4)+('School Assumptions'!$B$76*J24*J4)</f>
        <v>1995</v>
      </c>
      <c r="K32" s="174">
        <f>('School Assumptions'!$B$72*K20*K4)+('School Assumptions'!$B$73*K21*K4)+('School Assumptions'!$B$74*K22*K4)+('School Assumptions'!$B$75*K23*K4)+('School Assumptions'!$B$76*K24*K4)</f>
        <v>2505</v>
      </c>
      <c r="L32" s="174">
        <f>('School Assumptions'!$B$72*L20*L4)+('School Assumptions'!$B$73*L21*L4)+('School Assumptions'!$B$74*L22*L4)+('School Assumptions'!$B$75*L23*L4)+('School Assumptions'!$B$76*L24*L4)</f>
        <v>3495</v>
      </c>
      <c r="M32" s="174">
        <f>('School Assumptions'!$B$72*M20*M4)+('School Assumptions'!$B$73*M21*M4)+('School Assumptions'!$B$74*M22*M4)+('School Assumptions'!$B$75*M23*M4)+('School Assumptions'!$B$76*M24*M4)</f>
        <v>4005</v>
      </c>
    </row>
    <row r="33">
      <c r="B33" s="44"/>
    </row>
    <row r="34">
      <c r="B34" s="133" t="s">
        <v>96</v>
      </c>
      <c r="C34" s="134">
        <f t="shared" ref="C34:M34" si="14">C32*C9</f>
        <v>0</v>
      </c>
      <c r="D34" s="134">
        <f t="shared" si="14"/>
        <v>0</v>
      </c>
      <c r="E34" s="134">
        <f t="shared" si="14"/>
        <v>0</v>
      </c>
      <c r="F34" s="134">
        <f t="shared" si="14"/>
        <v>0</v>
      </c>
      <c r="G34" s="134">
        <f t="shared" si="14"/>
        <v>0</v>
      </c>
      <c r="H34" s="134">
        <f t="shared" si="14"/>
        <v>24750000</v>
      </c>
      <c r="I34" s="134">
        <f t="shared" si="14"/>
        <v>50250000</v>
      </c>
      <c r="J34" s="134">
        <f t="shared" si="14"/>
        <v>99750000</v>
      </c>
      <c r="K34" s="134">
        <f t="shared" si="14"/>
        <v>125250000</v>
      </c>
      <c r="L34" s="134">
        <f t="shared" si="14"/>
        <v>174750000</v>
      </c>
      <c r="M34" s="134">
        <f t="shared" si="14"/>
        <v>200250000</v>
      </c>
    </row>
    <row r="35">
      <c r="B35" s="1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B36" s="5" t="s">
        <v>61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B37" s="20" t="s">
        <v>62</v>
      </c>
      <c r="C37" s="135">
        <f>'Headcount Assumptions'!$F$11</f>
        <v>5232.5</v>
      </c>
      <c r="D37" s="135">
        <f>'Headcount Assumptions'!$F$11</f>
        <v>5232.5</v>
      </c>
      <c r="E37" s="135">
        <f>'Headcount Assumptions'!$F$11</f>
        <v>5232.5</v>
      </c>
      <c r="F37" s="135">
        <f>'Headcount Assumptions'!$F$11</f>
        <v>5232.5</v>
      </c>
      <c r="G37" s="135">
        <f>'Headcount Assumptions'!$F$11</f>
        <v>5232.5</v>
      </c>
      <c r="H37" s="135">
        <f>'Headcount Assumptions'!$F$11</f>
        <v>5232.5</v>
      </c>
      <c r="I37" s="135">
        <f>'Headcount Assumptions'!$F$11</f>
        <v>5232.5</v>
      </c>
      <c r="J37" s="135">
        <f>'Headcount Assumptions'!$F$11</f>
        <v>5232.5</v>
      </c>
      <c r="K37" s="135">
        <f>'Headcount Assumptions'!$F$11</f>
        <v>5232.5</v>
      </c>
      <c r="L37" s="135">
        <f>'Headcount Assumptions'!$F$11</f>
        <v>5232.5</v>
      </c>
      <c r="M37" s="135">
        <f>'Headcount Assumptions'!$F$11</f>
        <v>5232.5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B38" s="20" t="s">
        <v>63</v>
      </c>
      <c r="C38" s="135">
        <f>'Headcount Assumptions'!$F$13+'Headcount Assumptions'!$F$14</f>
        <v>3000</v>
      </c>
      <c r="D38" s="135">
        <f>'Headcount Assumptions'!$F$13+'Headcount Assumptions'!$F$14</f>
        <v>3000</v>
      </c>
      <c r="E38" s="135">
        <f>'Headcount Assumptions'!$F$13+'Headcount Assumptions'!$F$14</f>
        <v>3000</v>
      </c>
      <c r="F38" s="135">
        <f>'Headcount Assumptions'!$F$13+'Headcount Assumptions'!$F$14</f>
        <v>3000</v>
      </c>
      <c r="G38" s="135">
        <f>'Headcount Assumptions'!$F$13+'Headcount Assumptions'!$F$14</f>
        <v>3000</v>
      </c>
      <c r="H38" s="135">
        <f>'Headcount Assumptions'!$F$13+'Headcount Assumptions'!$F$14</f>
        <v>3000</v>
      </c>
      <c r="I38" s="135">
        <f>'Headcount Assumptions'!$F$13+'Headcount Assumptions'!$F$14</f>
        <v>3000</v>
      </c>
      <c r="J38" s="135">
        <f>'Headcount Assumptions'!$F$13+'Headcount Assumptions'!$F$14</f>
        <v>3000</v>
      </c>
      <c r="K38" s="135">
        <f>'Headcount Assumptions'!$F$13+'Headcount Assumptions'!$F$14</f>
        <v>3000</v>
      </c>
      <c r="L38" s="135">
        <f>'Headcount Assumptions'!$F$13+'Headcount Assumptions'!$F$14</f>
        <v>3000</v>
      </c>
      <c r="M38" s="135">
        <f>'Headcount Assumptions'!$F$13+'Headcount Assumptions'!$F$14</f>
        <v>3000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B39" s="20" t="s">
        <v>64</v>
      </c>
      <c r="C39" s="136">
        <v>1500.0</v>
      </c>
      <c r="D39" s="136">
        <v>1500.0</v>
      </c>
      <c r="E39" s="136">
        <v>1500.0</v>
      </c>
      <c r="F39" s="136">
        <v>1500.0</v>
      </c>
      <c r="G39" s="136">
        <v>1500.0</v>
      </c>
      <c r="H39" s="136">
        <v>1500.0</v>
      </c>
      <c r="I39" s="136">
        <v>1500.0</v>
      </c>
      <c r="J39" s="136">
        <v>1500.0</v>
      </c>
      <c r="K39" s="136">
        <v>1500.0</v>
      </c>
      <c r="L39" s="136">
        <v>1500.0</v>
      </c>
      <c r="M39" s="136">
        <v>1500.0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B40" s="20" t="s">
        <v>10</v>
      </c>
      <c r="C40" s="136">
        <v>5000.0</v>
      </c>
      <c r="D40" s="136">
        <v>5000.0</v>
      </c>
      <c r="E40" s="136">
        <v>5000.0</v>
      </c>
      <c r="F40" s="136">
        <v>5000.0</v>
      </c>
      <c r="G40" s="136">
        <v>5000.0</v>
      </c>
      <c r="H40" s="136">
        <v>5000.0</v>
      </c>
      <c r="I40" s="136">
        <v>5000.0</v>
      </c>
      <c r="J40" s="136">
        <v>5000.0</v>
      </c>
      <c r="K40" s="136">
        <v>5000.0</v>
      </c>
      <c r="L40" s="136">
        <v>5000.0</v>
      </c>
      <c r="M40" s="136">
        <v>5000.0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B41" s="137" t="s">
        <v>65</v>
      </c>
      <c r="C41" s="138">
        <f t="shared" ref="C41:M41" si="15">SUM(C37:C40)</f>
        <v>14732.5</v>
      </c>
      <c r="D41" s="138">
        <f t="shared" si="15"/>
        <v>14732.5</v>
      </c>
      <c r="E41" s="138">
        <f t="shared" si="15"/>
        <v>14732.5</v>
      </c>
      <c r="F41" s="138">
        <f t="shared" si="15"/>
        <v>14732.5</v>
      </c>
      <c r="G41" s="138">
        <f t="shared" si="15"/>
        <v>14732.5</v>
      </c>
      <c r="H41" s="138">
        <f t="shared" si="15"/>
        <v>14732.5</v>
      </c>
      <c r="I41" s="138">
        <f t="shared" si="15"/>
        <v>14732.5</v>
      </c>
      <c r="J41" s="138">
        <f t="shared" si="15"/>
        <v>14732.5</v>
      </c>
      <c r="K41" s="138">
        <f t="shared" si="15"/>
        <v>14732.5</v>
      </c>
      <c r="L41" s="138">
        <f t="shared" si="15"/>
        <v>14732.5</v>
      </c>
      <c r="M41" s="139">
        <f t="shared" si="15"/>
        <v>14732.5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B42" s="140" t="s">
        <v>97</v>
      </c>
      <c r="C42" s="141">
        <f t="shared" ref="C42:M42" si="16">C32*C41</f>
        <v>0</v>
      </c>
      <c r="D42" s="141">
        <f t="shared" si="16"/>
        <v>0</v>
      </c>
      <c r="E42" s="141">
        <f t="shared" si="16"/>
        <v>0</v>
      </c>
      <c r="F42" s="141">
        <f t="shared" si="16"/>
        <v>0</v>
      </c>
      <c r="G42" s="141">
        <f t="shared" si="16"/>
        <v>0</v>
      </c>
      <c r="H42" s="141">
        <f t="shared" si="16"/>
        <v>7292587.5</v>
      </c>
      <c r="I42" s="141">
        <f t="shared" si="16"/>
        <v>14806162.5</v>
      </c>
      <c r="J42" s="141">
        <f t="shared" si="16"/>
        <v>29391337.5</v>
      </c>
      <c r="K42" s="141">
        <f t="shared" si="16"/>
        <v>36904912.5</v>
      </c>
      <c r="L42" s="141">
        <f t="shared" si="16"/>
        <v>51490087.5</v>
      </c>
      <c r="M42" s="141">
        <f t="shared" si="16"/>
        <v>59003662.5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B43" s="20"/>
      <c r="C43" s="14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B44" s="143" t="s">
        <v>98</v>
      </c>
      <c r="C44" s="144">
        <f t="shared" ref="C44:M44" si="17">C34-C42</f>
        <v>0</v>
      </c>
      <c r="D44" s="144">
        <f t="shared" si="17"/>
        <v>0</v>
      </c>
      <c r="E44" s="144">
        <f t="shared" si="17"/>
        <v>0</v>
      </c>
      <c r="F44" s="144">
        <f t="shared" si="17"/>
        <v>0</v>
      </c>
      <c r="G44" s="144">
        <f t="shared" si="17"/>
        <v>0</v>
      </c>
      <c r="H44" s="144">
        <f t="shared" si="17"/>
        <v>17457412.5</v>
      </c>
      <c r="I44" s="144">
        <f t="shared" si="17"/>
        <v>35443837.5</v>
      </c>
      <c r="J44" s="144">
        <f t="shared" si="17"/>
        <v>70358662.5</v>
      </c>
      <c r="K44" s="144">
        <f t="shared" si="17"/>
        <v>88345087.5</v>
      </c>
      <c r="L44" s="144">
        <f t="shared" si="17"/>
        <v>123259912.5</v>
      </c>
      <c r="M44" s="144">
        <f t="shared" si="17"/>
        <v>141246337.5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B45" s="20"/>
      <c r="C45" s="14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B46" s="5" t="s">
        <v>99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B47" s="145" t="s">
        <v>100</v>
      </c>
      <c r="C47" s="20">
        <v>0.0</v>
      </c>
      <c r="D47" s="146">
        <f>D20*((('School Assumptions'!$B$30*'School Assumptions'!$B$46)+('School Assumptions'!$B$40*(1-'School Assumptions'!$B$46))))</f>
        <v>0</v>
      </c>
      <c r="E47" s="146">
        <f>E20*((('School Assumptions'!$B$30*'School Assumptions'!$B$46)+('School Assumptions'!$B$40*(1-'School Assumptions'!$B$46))))</f>
        <v>0</v>
      </c>
      <c r="F47" s="146">
        <f>F20*'School Assumptions'!$B$66</f>
        <v>15000000</v>
      </c>
      <c r="G47" s="146">
        <f>G20*'School Assumptions'!$B$66</f>
        <v>0</v>
      </c>
      <c r="H47" s="146">
        <f>H20*'School Assumptions'!$B$66</f>
        <v>15000000</v>
      </c>
      <c r="I47" s="146">
        <f>I20*'School Assumptions'!$B$66</f>
        <v>0</v>
      </c>
      <c r="J47" s="146">
        <f>J20*'School Assumptions'!$B$66</f>
        <v>15000000</v>
      </c>
      <c r="K47" s="146">
        <f>K20*'School Assumptions'!$B$66</f>
        <v>0</v>
      </c>
      <c r="L47" s="146">
        <f>L20*'School Assumptions'!$B$66</f>
        <v>15000000</v>
      </c>
      <c r="M47" s="146">
        <f>M20*'School Assumptions'!$B$66</f>
        <v>0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B48" s="145" t="s">
        <v>101</v>
      </c>
      <c r="C48" s="142">
        <v>0.0</v>
      </c>
      <c r="D48" s="146">
        <f>D20*((('School Assumptions'!$B$31*'School Assumptions'!$B$46)+('School Assumptions'!$B$41*(1-'School Assumptions'!$B$46))))</f>
        <v>0</v>
      </c>
      <c r="E48" s="146">
        <f>E20*((('School Assumptions'!$B$31*'School Assumptions'!$B$46)+('School Assumptions'!$B$41*(1-'School Assumptions'!$B$46))))</f>
        <v>0</v>
      </c>
      <c r="F48" s="142">
        <f>F20*'School Assumptions'!$B$67</f>
        <v>60000000</v>
      </c>
      <c r="G48" s="142">
        <f>G20*'School Assumptions'!$B$67</f>
        <v>0</v>
      </c>
      <c r="H48" s="142">
        <f>H20*'School Assumptions'!$B$67</f>
        <v>60000000</v>
      </c>
      <c r="I48" s="142">
        <f>I20*'School Assumptions'!$B$67</f>
        <v>0</v>
      </c>
      <c r="J48" s="142">
        <f>J20*'School Assumptions'!$B$67</f>
        <v>60000000</v>
      </c>
      <c r="K48" s="142">
        <f>K20*'School Assumptions'!$B$67</f>
        <v>0</v>
      </c>
      <c r="L48" s="142">
        <f>L20*'School Assumptions'!$B$67</f>
        <v>60000000</v>
      </c>
      <c r="M48" s="142">
        <f>M20*'School Assumptions'!$B$67</f>
        <v>0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B49" s="1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B50" s="44" t="s">
        <v>103</v>
      </c>
      <c r="C50" s="148">
        <f>C51</f>
        <v>0</v>
      </c>
      <c r="D50" s="149">
        <f t="shared" ref="D50:M50" si="18">C50+D48</f>
        <v>0</v>
      </c>
      <c r="E50" s="149">
        <f t="shared" si="18"/>
        <v>0</v>
      </c>
      <c r="F50" s="149">
        <f t="shared" si="18"/>
        <v>60000000</v>
      </c>
      <c r="G50" s="149">
        <f t="shared" si="18"/>
        <v>60000000</v>
      </c>
      <c r="H50" s="149">
        <f t="shared" si="18"/>
        <v>120000000</v>
      </c>
      <c r="I50" s="149">
        <f t="shared" si="18"/>
        <v>120000000</v>
      </c>
      <c r="J50" s="149">
        <f t="shared" si="18"/>
        <v>180000000</v>
      </c>
      <c r="K50" s="149">
        <f t="shared" si="18"/>
        <v>180000000</v>
      </c>
      <c r="L50" s="149">
        <f t="shared" si="18"/>
        <v>240000000</v>
      </c>
      <c r="M50" s="149">
        <f t="shared" si="18"/>
        <v>240000000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B51" s="20" t="s">
        <v>104</v>
      </c>
      <c r="C51" s="146">
        <f>C48</f>
        <v>0</v>
      </c>
      <c r="D51" s="146">
        <f t="shared" ref="D51:M51" si="19">C51+D48-C52</f>
        <v>0</v>
      </c>
      <c r="E51" s="146">
        <f t="shared" si="19"/>
        <v>0</v>
      </c>
      <c r="F51" s="146">
        <f t="shared" si="19"/>
        <v>60000000</v>
      </c>
      <c r="G51" s="146">
        <f t="shared" si="19"/>
        <v>54000000</v>
      </c>
      <c r="H51" s="146">
        <f t="shared" si="19"/>
        <v>108000000</v>
      </c>
      <c r="I51" s="146">
        <f t="shared" si="19"/>
        <v>96000000</v>
      </c>
      <c r="J51" s="146">
        <f t="shared" si="19"/>
        <v>144000000</v>
      </c>
      <c r="K51" s="146">
        <f t="shared" si="19"/>
        <v>126000000</v>
      </c>
      <c r="L51" s="146">
        <f t="shared" si="19"/>
        <v>168000000</v>
      </c>
      <c r="M51" s="146">
        <f t="shared" si="19"/>
        <v>144000000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B52" s="150" t="s">
        <v>105</v>
      </c>
      <c r="C52" s="146">
        <f>C51/(('School Assumptions'!$B$32*'School Assumptions'!$B$46)+('School Assumptions'!$B$42*(1-'School Assumptions'!$B$46)))</f>
        <v>0</v>
      </c>
      <c r="D52" s="146">
        <f>D51/(('School Assumptions'!$B$32*'School Assumptions'!$B$46)+('School Assumptions'!$B$42*(1-'School Assumptions'!$B$46)))</f>
        <v>0</v>
      </c>
      <c r="E52" s="146">
        <f>E51/(('School Assumptions'!$B$32*'School Assumptions'!$B$46)+('School Assumptions'!$B$42*(1-'School Assumptions'!$B$46)))</f>
        <v>0</v>
      </c>
      <c r="F52" s="146">
        <f>F50/(('School Assumptions'!$B$32*'School Assumptions'!$B$46)+('School Assumptions'!$B$42*(1-'School Assumptions'!$B$46)))</f>
        <v>6000000</v>
      </c>
      <c r="G52" s="146">
        <f>G50/(('School Assumptions'!$B$32*'School Assumptions'!$B$46)+('School Assumptions'!$B$42*(1-'School Assumptions'!$B$46)))</f>
        <v>6000000</v>
      </c>
      <c r="H52" s="146">
        <f>H50/(('School Assumptions'!$B$32*'School Assumptions'!$B$46)+('School Assumptions'!$B$42*(1-'School Assumptions'!$B$46)))</f>
        <v>12000000</v>
      </c>
      <c r="I52" s="146">
        <f>I50/(('School Assumptions'!$B$32*'School Assumptions'!$B$46)+('School Assumptions'!$B$42*(1-'School Assumptions'!$B$46)))</f>
        <v>12000000</v>
      </c>
      <c r="J52" s="146">
        <f>J50/(('School Assumptions'!$B$32*'School Assumptions'!$B$46)+('School Assumptions'!$B$42*(1-'School Assumptions'!$B$46)))</f>
        <v>18000000</v>
      </c>
      <c r="K52" s="146">
        <f>K50/(('School Assumptions'!$B$32*'School Assumptions'!$B$46)+('School Assumptions'!$B$42*(1-'School Assumptions'!$B$46)))</f>
        <v>18000000</v>
      </c>
      <c r="L52" s="146">
        <f>L50/(('School Assumptions'!$B$32*'School Assumptions'!$B$46)+('School Assumptions'!$B$42*(1-'School Assumptions'!$B$46)))</f>
        <v>24000000</v>
      </c>
      <c r="M52" s="146">
        <f>M50/(('School Assumptions'!$B$32*'School Assumptions'!$B$46)+('School Assumptions'!$B$42*(1-'School Assumptions'!$B$46)))</f>
        <v>24000000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B53" s="1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B54" s="175" t="s">
        <v>106</v>
      </c>
      <c r="C54" s="176">
        <f t="shared" ref="C54:M54" si="20">C47+C48</f>
        <v>0</v>
      </c>
      <c r="D54" s="176">
        <f t="shared" si="20"/>
        <v>0</v>
      </c>
      <c r="E54" s="176">
        <f t="shared" si="20"/>
        <v>0</v>
      </c>
      <c r="F54" s="176">
        <f t="shared" si="20"/>
        <v>75000000</v>
      </c>
      <c r="G54" s="176">
        <f t="shared" si="20"/>
        <v>0</v>
      </c>
      <c r="H54" s="176">
        <f t="shared" si="20"/>
        <v>75000000</v>
      </c>
      <c r="I54" s="176">
        <f t="shared" si="20"/>
        <v>0</v>
      </c>
      <c r="J54" s="176">
        <f t="shared" si="20"/>
        <v>75000000</v>
      </c>
      <c r="K54" s="176">
        <f t="shared" si="20"/>
        <v>0</v>
      </c>
      <c r="L54" s="176">
        <f t="shared" si="20"/>
        <v>75000000</v>
      </c>
      <c r="M54" s="176">
        <f t="shared" si="20"/>
        <v>0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B55" s="1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B56" s="5" t="s">
        <v>107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B57" s="150" t="s">
        <v>108</v>
      </c>
      <c r="C57" s="142">
        <v>0.0</v>
      </c>
      <c r="D57" s="146">
        <f t="shared" ref="D57:M57" si="21">C57+D47</f>
        <v>0</v>
      </c>
      <c r="E57" s="146">
        <f t="shared" si="21"/>
        <v>0</v>
      </c>
      <c r="F57" s="146">
        <f t="shared" si="21"/>
        <v>15000000</v>
      </c>
      <c r="G57" s="146">
        <f t="shared" si="21"/>
        <v>15000000</v>
      </c>
      <c r="H57" s="146">
        <f t="shared" si="21"/>
        <v>30000000</v>
      </c>
      <c r="I57" s="146">
        <f t="shared" si="21"/>
        <v>30000000</v>
      </c>
      <c r="J57" s="146">
        <f t="shared" si="21"/>
        <v>45000000</v>
      </c>
      <c r="K57" s="146">
        <f t="shared" si="21"/>
        <v>45000000</v>
      </c>
      <c r="L57" s="146">
        <f t="shared" si="21"/>
        <v>60000000</v>
      </c>
      <c r="M57" s="146">
        <f t="shared" si="21"/>
        <v>60000000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B58" s="20" t="s">
        <v>109</v>
      </c>
      <c r="C58" s="146">
        <f t="shared" ref="C58:M58" si="22">C51</f>
        <v>0</v>
      </c>
      <c r="D58" s="146">
        <f t="shared" si="22"/>
        <v>0</v>
      </c>
      <c r="E58" s="146">
        <f t="shared" si="22"/>
        <v>0</v>
      </c>
      <c r="F58" s="146">
        <f t="shared" si="22"/>
        <v>60000000</v>
      </c>
      <c r="G58" s="146">
        <f t="shared" si="22"/>
        <v>54000000</v>
      </c>
      <c r="H58" s="146">
        <f t="shared" si="22"/>
        <v>108000000</v>
      </c>
      <c r="I58" s="146">
        <f t="shared" si="22"/>
        <v>96000000</v>
      </c>
      <c r="J58" s="146">
        <f t="shared" si="22"/>
        <v>144000000</v>
      </c>
      <c r="K58" s="146">
        <f t="shared" si="22"/>
        <v>126000000</v>
      </c>
      <c r="L58" s="146">
        <f t="shared" si="22"/>
        <v>168000000</v>
      </c>
      <c r="M58" s="146">
        <f t="shared" si="22"/>
        <v>144000000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B59" s="153" t="s">
        <v>110</v>
      </c>
      <c r="C59" s="177">
        <f t="shared" ref="C59:M59" si="23">C58+C57</f>
        <v>0</v>
      </c>
      <c r="D59" s="177">
        <f t="shared" si="23"/>
        <v>0</v>
      </c>
      <c r="E59" s="177">
        <f t="shared" si="23"/>
        <v>0</v>
      </c>
      <c r="F59" s="177">
        <f t="shared" si="23"/>
        <v>75000000</v>
      </c>
      <c r="G59" s="177">
        <f t="shared" si="23"/>
        <v>69000000</v>
      </c>
      <c r="H59" s="177">
        <f t="shared" si="23"/>
        <v>138000000</v>
      </c>
      <c r="I59" s="177">
        <f t="shared" si="23"/>
        <v>126000000</v>
      </c>
      <c r="J59" s="177">
        <f t="shared" si="23"/>
        <v>189000000</v>
      </c>
      <c r="K59" s="177">
        <f t="shared" si="23"/>
        <v>171000000</v>
      </c>
      <c r="L59" s="177">
        <f t="shared" si="23"/>
        <v>228000000</v>
      </c>
      <c r="M59" s="177">
        <f t="shared" si="23"/>
        <v>204000000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B61" s="88" t="s">
        <v>111</v>
      </c>
      <c r="C61" s="155">
        <f t="shared" ref="C61:M61" si="24">(C57/10)</f>
        <v>0</v>
      </c>
      <c r="D61" s="155">
        <f t="shared" si="24"/>
        <v>0</v>
      </c>
      <c r="E61" s="155">
        <f t="shared" si="24"/>
        <v>0</v>
      </c>
      <c r="F61" s="155">
        <f t="shared" si="24"/>
        <v>1500000</v>
      </c>
      <c r="G61" s="155">
        <f t="shared" si="24"/>
        <v>1500000</v>
      </c>
      <c r="H61" s="155">
        <f t="shared" si="24"/>
        <v>3000000</v>
      </c>
      <c r="I61" s="155">
        <f t="shared" si="24"/>
        <v>3000000</v>
      </c>
      <c r="J61" s="155">
        <f t="shared" si="24"/>
        <v>4500000</v>
      </c>
      <c r="K61" s="155">
        <f t="shared" si="24"/>
        <v>4500000</v>
      </c>
      <c r="L61" s="155">
        <f t="shared" si="24"/>
        <v>6000000</v>
      </c>
      <c r="M61" s="155">
        <f t="shared" si="24"/>
        <v>6000000</v>
      </c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</row>
    <row r="62">
      <c r="B62" s="157" t="s">
        <v>113</v>
      </c>
      <c r="C62" s="146">
        <f t="shared" ref="C62:M62" si="25">IFERROR(C61/C32,0)</f>
        <v>0</v>
      </c>
      <c r="D62" s="146">
        <f t="shared" si="25"/>
        <v>0</v>
      </c>
      <c r="E62" s="146">
        <f t="shared" si="25"/>
        <v>0</v>
      </c>
      <c r="F62" s="146">
        <f t="shared" si="25"/>
        <v>0</v>
      </c>
      <c r="G62" s="146">
        <f t="shared" si="25"/>
        <v>0</v>
      </c>
      <c r="H62" s="146">
        <f t="shared" si="25"/>
        <v>6060.606061</v>
      </c>
      <c r="I62" s="146">
        <f t="shared" si="25"/>
        <v>2985.074627</v>
      </c>
      <c r="J62" s="146">
        <f t="shared" si="25"/>
        <v>2255.639098</v>
      </c>
      <c r="K62" s="146">
        <f t="shared" si="25"/>
        <v>1796.407186</v>
      </c>
      <c r="L62" s="146">
        <f t="shared" si="25"/>
        <v>1716.738197</v>
      </c>
      <c r="M62" s="146">
        <f t="shared" si="25"/>
        <v>1498.127341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B63" s="1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B64" s="1" t="s">
        <v>124</v>
      </c>
      <c r="C64" s="146">
        <f>'School Assumptions'!$B$69*C25</f>
        <v>0</v>
      </c>
      <c r="D64" s="146">
        <f>'School Assumptions'!$B$69*D25</f>
        <v>0</v>
      </c>
      <c r="E64" s="146">
        <f>'School Assumptions'!$B$69*E25</f>
        <v>0</v>
      </c>
      <c r="F64" s="146">
        <f>'School Assumptions'!$B$69*F25</f>
        <v>1600000</v>
      </c>
      <c r="G64" s="146">
        <f>'School Assumptions'!$B$69*G25</f>
        <v>1600000</v>
      </c>
      <c r="H64" s="146">
        <f>'School Assumptions'!$B$69*H25</f>
        <v>3200000</v>
      </c>
      <c r="I64" s="146">
        <f>'School Assumptions'!$B$69*I25</f>
        <v>3200000</v>
      </c>
      <c r="J64" s="146">
        <f>'School Assumptions'!$B$69*J25</f>
        <v>4800000</v>
      </c>
      <c r="K64" s="146">
        <f>'School Assumptions'!$B$69*K25</f>
        <v>4800000</v>
      </c>
      <c r="L64" s="146">
        <f>'School Assumptions'!$B$69*L25</f>
        <v>6400000</v>
      </c>
      <c r="M64" s="146">
        <f>'School Assumptions'!$B$69*M25</f>
        <v>6400000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B65" s="157" t="s">
        <v>113</v>
      </c>
      <c r="C65" s="146">
        <f t="shared" ref="C65:M65" si="26">IFERROR(C64/C32,0)</f>
        <v>0</v>
      </c>
      <c r="D65" s="146">
        <f t="shared" si="26"/>
        <v>0</v>
      </c>
      <c r="E65" s="146">
        <f t="shared" si="26"/>
        <v>0</v>
      </c>
      <c r="F65" s="146">
        <f t="shared" si="26"/>
        <v>0</v>
      </c>
      <c r="G65" s="146">
        <f t="shared" si="26"/>
        <v>0</v>
      </c>
      <c r="H65" s="146">
        <f t="shared" si="26"/>
        <v>6464.646465</v>
      </c>
      <c r="I65" s="146">
        <f t="shared" si="26"/>
        <v>3184.079602</v>
      </c>
      <c r="J65" s="146">
        <f t="shared" si="26"/>
        <v>2406.015038</v>
      </c>
      <c r="K65" s="146">
        <f t="shared" si="26"/>
        <v>1916.167665</v>
      </c>
      <c r="L65" s="146">
        <f t="shared" si="26"/>
        <v>1831.187411</v>
      </c>
      <c r="M65" s="146">
        <f t="shared" si="26"/>
        <v>1598.002497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B66" s="1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B67" s="158" t="s">
        <v>11</v>
      </c>
      <c r="C67" s="159">
        <f t="shared" ref="C67:M67" si="27">C44-C64</f>
        <v>0</v>
      </c>
      <c r="D67" s="159">
        <f t="shared" si="27"/>
        <v>0</v>
      </c>
      <c r="E67" s="159">
        <f t="shared" si="27"/>
        <v>0</v>
      </c>
      <c r="F67" s="159">
        <f t="shared" si="27"/>
        <v>-1600000</v>
      </c>
      <c r="G67" s="159">
        <f t="shared" si="27"/>
        <v>-1600000</v>
      </c>
      <c r="H67" s="159">
        <f t="shared" si="27"/>
        <v>14257412.5</v>
      </c>
      <c r="I67" s="159">
        <f t="shared" si="27"/>
        <v>32243837.5</v>
      </c>
      <c r="J67" s="159">
        <f t="shared" si="27"/>
        <v>65558662.5</v>
      </c>
      <c r="K67" s="159">
        <f t="shared" si="27"/>
        <v>83545087.5</v>
      </c>
      <c r="L67" s="159">
        <f t="shared" si="27"/>
        <v>116859912.5</v>
      </c>
      <c r="M67" s="159">
        <f t="shared" si="27"/>
        <v>134846337.5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44" t="s">
        <v>125</v>
      </c>
      <c r="B68" s="160" t="s">
        <v>85</v>
      </c>
      <c r="C68" s="161">
        <f t="shared" ref="C68:M68" si="28">IFERROR(C67/C32,0)</f>
        <v>0</v>
      </c>
      <c r="D68" s="161">
        <f t="shared" si="28"/>
        <v>0</v>
      </c>
      <c r="E68" s="161">
        <f t="shared" si="28"/>
        <v>0</v>
      </c>
      <c r="F68" s="161">
        <f t="shared" si="28"/>
        <v>0</v>
      </c>
      <c r="G68" s="161">
        <f t="shared" si="28"/>
        <v>0</v>
      </c>
      <c r="H68" s="161">
        <f t="shared" si="28"/>
        <v>28802.85354</v>
      </c>
      <c r="I68" s="161">
        <f t="shared" si="28"/>
        <v>32083.4204</v>
      </c>
      <c r="J68" s="161">
        <f t="shared" si="28"/>
        <v>32861.48496</v>
      </c>
      <c r="K68" s="161">
        <f t="shared" si="28"/>
        <v>33351.33234</v>
      </c>
      <c r="L68" s="161">
        <f t="shared" si="28"/>
        <v>33436.31259</v>
      </c>
      <c r="M68" s="161">
        <f t="shared" si="28"/>
        <v>33669.4975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B70" s="5" t="s">
        <v>14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B71" s="20" t="s">
        <v>67</v>
      </c>
      <c r="C71" s="135">
        <f>C31*'School Assumptions'!$B$58</f>
        <v>0</v>
      </c>
      <c r="D71" s="135">
        <f>D31*'School Assumptions'!$B$58</f>
        <v>0</v>
      </c>
      <c r="E71" s="135">
        <f>E31*'School Assumptions'!$B$58</f>
        <v>0</v>
      </c>
      <c r="F71" s="135">
        <f>F31*'School Assumptions'!$B$58</f>
        <v>0</v>
      </c>
      <c r="G71" s="135">
        <f>G31*'School Assumptions'!$B$58</f>
        <v>0</v>
      </c>
      <c r="H71" s="135">
        <f>H31*'School Assumptions'!$B$58</f>
        <v>495000</v>
      </c>
      <c r="I71" s="135">
        <f>I31*'School Assumptions'!$B$58</f>
        <v>623153.8462</v>
      </c>
      <c r="J71" s="135">
        <f>J31*'School Assumptions'!$B$58</f>
        <v>1219615.385</v>
      </c>
      <c r="K71" s="135">
        <f>K31*'School Assumptions'!$B$58</f>
        <v>966923.0769</v>
      </c>
      <c r="L71" s="135">
        <f>L31*'School Assumptions'!$B$58</f>
        <v>1563384.615</v>
      </c>
      <c r="M71" s="135">
        <f>M31*'School Assumptions'!$B$58</f>
        <v>1309692.308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B72" s="20" t="s">
        <v>68</v>
      </c>
      <c r="C72" s="135">
        <f>C31*'School Assumptions'!$B$59</f>
        <v>0</v>
      </c>
      <c r="D72" s="135">
        <f>D31*'School Assumptions'!$B$59</f>
        <v>0</v>
      </c>
      <c r="E72" s="135">
        <f>E31*'School Assumptions'!$B$59</f>
        <v>0</v>
      </c>
      <c r="F72" s="135">
        <f>F31*'School Assumptions'!$B$59</f>
        <v>0</v>
      </c>
      <c r="G72" s="135">
        <f>G31*'School Assumptions'!$B$59</f>
        <v>0</v>
      </c>
      <c r="H72" s="135">
        <f>H31*'School Assumptions'!$B$59</f>
        <v>1980000</v>
      </c>
      <c r="I72" s="135">
        <f>I31*'School Assumptions'!$B$59</f>
        <v>2492615.385</v>
      </c>
      <c r="J72" s="135">
        <f>J31*'School Assumptions'!$B$59</f>
        <v>4878461.538</v>
      </c>
      <c r="K72" s="135">
        <f>K31*'School Assumptions'!$B$59</f>
        <v>3867692.308</v>
      </c>
      <c r="L72" s="135">
        <f>L31*'School Assumptions'!$B$59</f>
        <v>6253538.462</v>
      </c>
      <c r="M72" s="135">
        <f>M31*'School Assumptions'!$B$59</f>
        <v>5238769.231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B73" s="151" t="s">
        <v>17</v>
      </c>
      <c r="C73" s="162">
        <f t="shared" ref="C73:M73" si="29">C71+C72</f>
        <v>0</v>
      </c>
      <c r="D73" s="162">
        <f t="shared" si="29"/>
        <v>0</v>
      </c>
      <c r="E73" s="162">
        <f t="shared" si="29"/>
        <v>0</v>
      </c>
      <c r="F73" s="162">
        <f t="shared" si="29"/>
        <v>0</v>
      </c>
      <c r="G73" s="162">
        <f t="shared" si="29"/>
        <v>0</v>
      </c>
      <c r="H73" s="162">
        <f t="shared" si="29"/>
        <v>2475000</v>
      </c>
      <c r="I73" s="162">
        <f t="shared" si="29"/>
        <v>3115769.231</v>
      </c>
      <c r="J73" s="162">
        <f t="shared" si="29"/>
        <v>6098076.923</v>
      </c>
      <c r="K73" s="162">
        <f t="shared" si="29"/>
        <v>4834615.385</v>
      </c>
      <c r="L73" s="162">
        <f t="shared" si="29"/>
        <v>7816923.077</v>
      </c>
      <c r="M73" s="162">
        <f t="shared" si="29"/>
        <v>6548461.538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B74" s="20"/>
      <c r="C74" s="14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B75" s="158" t="s">
        <v>126</v>
      </c>
      <c r="C75" s="159">
        <f t="shared" ref="C75:M75" si="30">C67-C73</f>
        <v>0</v>
      </c>
      <c r="D75" s="159">
        <f t="shared" si="30"/>
        <v>0</v>
      </c>
      <c r="E75" s="159">
        <f t="shared" si="30"/>
        <v>0</v>
      </c>
      <c r="F75" s="159">
        <f t="shared" si="30"/>
        <v>-1600000</v>
      </c>
      <c r="G75" s="159">
        <f t="shared" si="30"/>
        <v>-1600000</v>
      </c>
      <c r="H75" s="159">
        <f t="shared" si="30"/>
        <v>11782412.5</v>
      </c>
      <c r="I75" s="159">
        <f t="shared" si="30"/>
        <v>29128068.27</v>
      </c>
      <c r="J75" s="159">
        <f t="shared" si="30"/>
        <v>59460585.58</v>
      </c>
      <c r="K75" s="159">
        <f t="shared" si="30"/>
        <v>78710472.12</v>
      </c>
      <c r="L75" s="159">
        <f t="shared" si="30"/>
        <v>109042989.4</v>
      </c>
      <c r="M75" s="159">
        <f t="shared" si="30"/>
        <v>128297876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B76" s="158" t="s">
        <v>117</v>
      </c>
      <c r="C76" s="159">
        <f t="shared" ref="C76:M76" si="31">C75-C52</f>
        <v>0</v>
      </c>
      <c r="D76" s="159">
        <f t="shared" si="31"/>
        <v>0</v>
      </c>
      <c r="E76" s="159">
        <f t="shared" si="31"/>
        <v>0</v>
      </c>
      <c r="F76" s="159">
        <f t="shared" si="31"/>
        <v>-7600000</v>
      </c>
      <c r="G76" s="159">
        <f t="shared" si="31"/>
        <v>-7600000</v>
      </c>
      <c r="H76" s="159">
        <f t="shared" si="31"/>
        <v>-217587.5</v>
      </c>
      <c r="I76" s="159">
        <f t="shared" si="31"/>
        <v>17128068.27</v>
      </c>
      <c r="J76" s="159">
        <f t="shared" si="31"/>
        <v>41460585.58</v>
      </c>
      <c r="K76" s="159">
        <f t="shared" si="31"/>
        <v>60710472.12</v>
      </c>
      <c r="L76" s="159">
        <f t="shared" si="31"/>
        <v>85042989.42</v>
      </c>
      <c r="M76" s="159">
        <f t="shared" si="31"/>
        <v>104297876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B77" s="1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B78" s="164" t="s">
        <v>118</v>
      </c>
      <c r="C78" s="165">
        <f t="shared" ref="C78:M78" si="32">C75-C54</f>
        <v>0</v>
      </c>
      <c r="D78" s="165">
        <f t="shared" si="32"/>
        <v>0</v>
      </c>
      <c r="E78" s="165">
        <f t="shared" si="32"/>
        <v>0</v>
      </c>
      <c r="F78" s="165">
        <f t="shared" si="32"/>
        <v>-76600000</v>
      </c>
      <c r="G78" s="165">
        <f t="shared" si="32"/>
        <v>-1600000</v>
      </c>
      <c r="H78" s="165">
        <f t="shared" si="32"/>
        <v>-63217587.5</v>
      </c>
      <c r="I78" s="165">
        <f t="shared" si="32"/>
        <v>29128068.27</v>
      </c>
      <c r="J78" s="165">
        <f t="shared" si="32"/>
        <v>-15539414.42</v>
      </c>
      <c r="K78" s="165">
        <f t="shared" si="32"/>
        <v>78710472.12</v>
      </c>
      <c r="L78" s="165">
        <f t="shared" si="32"/>
        <v>34042989.42</v>
      </c>
      <c r="M78" s="165">
        <f t="shared" si="32"/>
        <v>128297876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B79" s="1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B80" s="5" t="s">
        <v>119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B81" s="1" t="s">
        <v>120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146">
        <f>M59</f>
        <v>204000000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B82" s="1" t="s">
        <v>24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146">
        <f>(M67*17.5)+M81</f>
        <v>2563810906</v>
      </c>
    </row>
    <row r="83">
      <c r="B83" s="1" t="s">
        <v>127</v>
      </c>
      <c r="C83" s="146">
        <f t="shared" ref="C83:L83" si="33">C75-C54</f>
        <v>0</v>
      </c>
      <c r="D83" s="146">
        <f t="shared" si="33"/>
        <v>0</v>
      </c>
      <c r="E83" s="146">
        <f t="shared" si="33"/>
        <v>0</v>
      </c>
      <c r="F83" s="146">
        <f t="shared" si="33"/>
        <v>-76600000</v>
      </c>
      <c r="G83" s="146">
        <f t="shared" si="33"/>
        <v>-1600000</v>
      </c>
      <c r="H83" s="146">
        <f t="shared" si="33"/>
        <v>-63217587.5</v>
      </c>
      <c r="I83" s="146">
        <f t="shared" si="33"/>
        <v>29128068.27</v>
      </c>
      <c r="J83" s="146">
        <f t="shared" si="33"/>
        <v>-15539414.42</v>
      </c>
      <c r="K83" s="146">
        <f t="shared" si="33"/>
        <v>78710472.12</v>
      </c>
      <c r="L83" s="146">
        <f t="shared" si="33"/>
        <v>34042989.42</v>
      </c>
      <c r="M83" s="146">
        <f>M82</f>
        <v>2563810906</v>
      </c>
    </row>
    <row r="84">
      <c r="B84" s="1" t="s">
        <v>121</v>
      </c>
      <c r="C84" s="166">
        <f>IRR(C83:M83)</f>
        <v>0.618473199</v>
      </c>
      <c r="D84" s="2"/>
      <c r="E84" s="2"/>
      <c r="F84" s="2"/>
      <c r="G84" s="2"/>
      <c r="H84" s="2"/>
      <c r="I84" s="2"/>
      <c r="J84" s="2"/>
      <c r="K84" s="2"/>
      <c r="L84" s="2"/>
      <c r="M84" s="2"/>
    </row>
  </sheetData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4" max="4" width="47.13"/>
  </cols>
  <sheetData>
    <row r="1">
      <c r="A1" s="178" t="s">
        <v>3</v>
      </c>
      <c r="B1" s="179"/>
    </row>
    <row r="2">
      <c r="A2" s="180" t="s">
        <v>53</v>
      </c>
      <c r="B2" s="181">
        <v>10474.0</v>
      </c>
    </row>
    <row r="3">
      <c r="A3" s="182"/>
      <c r="B3" s="183"/>
    </row>
    <row r="4">
      <c r="A4" s="182" t="s">
        <v>14</v>
      </c>
      <c r="B4" s="183"/>
    </row>
    <row r="5">
      <c r="A5" s="180" t="s">
        <v>67</v>
      </c>
      <c r="B5" s="181">
        <v>500.0</v>
      </c>
    </row>
    <row r="6">
      <c r="A6" s="180" t="s">
        <v>68</v>
      </c>
      <c r="B6" s="181">
        <v>2000.0</v>
      </c>
    </row>
    <row r="7">
      <c r="A7" s="180"/>
      <c r="B7" s="184"/>
    </row>
    <row r="8">
      <c r="A8" s="180" t="s">
        <v>55</v>
      </c>
      <c r="B8" s="185">
        <v>2.5</v>
      </c>
    </row>
    <row r="9">
      <c r="A9" s="186" t="s">
        <v>54</v>
      </c>
      <c r="B9" s="187">
        <v>0.075</v>
      </c>
    </row>
    <row r="10">
      <c r="A10" s="188"/>
      <c r="B10" s="188"/>
    </row>
    <row r="11">
      <c r="A11" s="188"/>
      <c r="B11" s="188"/>
    </row>
    <row r="12">
      <c r="A12" s="178" t="s">
        <v>5</v>
      </c>
      <c r="B12" s="179"/>
    </row>
    <row r="13">
      <c r="A13" s="180" t="s">
        <v>128</v>
      </c>
      <c r="B13" s="189">
        <v>25.0</v>
      </c>
    </row>
    <row r="14">
      <c r="A14" s="180" t="s">
        <v>53</v>
      </c>
      <c r="B14" s="181">
        <v>15000.0</v>
      </c>
    </row>
    <row r="15">
      <c r="A15" s="182"/>
      <c r="B15" s="183"/>
    </row>
    <row r="16">
      <c r="A16" s="182" t="s">
        <v>14</v>
      </c>
      <c r="B16" s="183"/>
    </row>
    <row r="17">
      <c r="A17" s="180" t="s">
        <v>67</v>
      </c>
      <c r="B17" s="181">
        <v>500.0</v>
      </c>
    </row>
    <row r="18">
      <c r="A18" s="180" t="s">
        <v>68</v>
      </c>
      <c r="B18" s="181">
        <v>2500.0</v>
      </c>
    </row>
    <row r="19">
      <c r="A19" s="180"/>
      <c r="B19" s="184"/>
    </row>
    <row r="20">
      <c r="A20" s="182" t="s">
        <v>129</v>
      </c>
      <c r="B20" s="185"/>
    </row>
    <row r="21">
      <c r="A21" s="180" t="s">
        <v>130</v>
      </c>
      <c r="B21" s="184">
        <v>0.7</v>
      </c>
    </row>
    <row r="22">
      <c r="A22" s="180" t="s">
        <v>131</v>
      </c>
      <c r="B22" s="184">
        <v>1.0</v>
      </c>
    </row>
    <row r="23">
      <c r="A23" s="180"/>
      <c r="B23" s="185"/>
    </row>
    <row r="24">
      <c r="A24" s="180" t="s">
        <v>55</v>
      </c>
      <c r="B24" s="185">
        <v>2.5</v>
      </c>
    </row>
    <row r="25">
      <c r="A25" s="186" t="s">
        <v>54</v>
      </c>
      <c r="B25" s="187">
        <v>0.075</v>
      </c>
    </row>
    <row r="26">
      <c r="A26" s="190"/>
      <c r="B26" s="190"/>
    </row>
    <row r="27">
      <c r="A27" s="191" t="s">
        <v>6</v>
      </c>
      <c r="B27" s="192"/>
    </row>
    <row r="28">
      <c r="A28" s="182" t="s">
        <v>132</v>
      </c>
      <c r="B28" s="189"/>
    </row>
    <row r="29">
      <c r="A29" s="180" t="s">
        <v>128</v>
      </c>
      <c r="B29" s="189">
        <v>400.0</v>
      </c>
    </row>
    <row r="30">
      <c r="A30" s="180" t="s">
        <v>133</v>
      </c>
      <c r="B30" s="181">
        <v>1000000.0</v>
      </c>
    </row>
    <row r="31">
      <c r="A31" s="180" t="s">
        <v>134</v>
      </c>
      <c r="B31" s="181">
        <v>1.4E7</v>
      </c>
    </row>
    <row r="32">
      <c r="A32" s="180" t="s">
        <v>135</v>
      </c>
      <c r="B32" s="193">
        <v>10.0</v>
      </c>
    </row>
    <row r="33" hidden="1">
      <c r="A33" s="180" t="s">
        <v>136</v>
      </c>
      <c r="B33" s="184">
        <v>0.4</v>
      </c>
    </row>
    <row r="34" hidden="1">
      <c r="A34" s="180" t="s">
        <v>137</v>
      </c>
      <c r="B34" s="194">
        <v>0.06</v>
      </c>
    </row>
    <row r="35">
      <c r="A35" s="195" t="s">
        <v>53</v>
      </c>
      <c r="B35" s="181">
        <v>25000.0</v>
      </c>
    </row>
    <row r="36">
      <c r="A36" s="180" t="s">
        <v>124</v>
      </c>
      <c r="B36" s="181">
        <f>(815868+915868)/2</f>
        <v>865868</v>
      </c>
    </row>
    <row r="37">
      <c r="A37" s="182"/>
      <c r="B37" s="183"/>
    </row>
    <row r="38">
      <c r="A38" s="182" t="s">
        <v>138</v>
      </c>
      <c r="B38" s="183"/>
    </row>
    <row r="39">
      <c r="A39" s="180" t="s">
        <v>128</v>
      </c>
      <c r="B39" s="189">
        <v>1000.0</v>
      </c>
    </row>
    <row r="40">
      <c r="A40" s="180" t="s">
        <v>133</v>
      </c>
      <c r="B40" s="181">
        <v>1.0E7</v>
      </c>
    </row>
    <row r="41">
      <c r="A41" s="180" t="s">
        <v>134</v>
      </c>
      <c r="B41" s="181">
        <v>4.0E7</v>
      </c>
    </row>
    <row r="42">
      <c r="A42" s="180" t="s">
        <v>135</v>
      </c>
      <c r="B42" s="193">
        <v>10.0</v>
      </c>
    </row>
    <row r="43">
      <c r="A43" s="195" t="s">
        <v>53</v>
      </c>
      <c r="B43" s="181">
        <v>25000.0</v>
      </c>
    </row>
    <row r="44">
      <c r="A44" s="180" t="s">
        <v>124</v>
      </c>
      <c r="B44" s="181">
        <v>1165868.0</v>
      </c>
    </row>
    <row r="45">
      <c r="A45" s="180"/>
      <c r="B45" s="181"/>
    </row>
    <row r="46">
      <c r="A46" s="180" t="s">
        <v>139</v>
      </c>
      <c r="B46" s="184">
        <v>0.5</v>
      </c>
    </row>
    <row r="47">
      <c r="A47" s="180"/>
      <c r="B47" s="181"/>
    </row>
    <row r="48">
      <c r="A48" s="182" t="s">
        <v>129</v>
      </c>
      <c r="B48" s="181"/>
    </row>
    <row r="49">
      <c r="A49" s="180" t="s">
        <v>130</v>
      </c>
      <c r="B49" s="184">
        <v>0.0</v>
      </c>
    </row>
    <row r="50">
      <c r="A50" s="180" t="s">
        <v>131</v>
      </c>
      <c r="B50" s="184">
        <v>0.33</v>
      </c>
    </row>
    <row r="51">
      <c r="A51" s="196" t="s">
        <v>140</v>
      </c>
      <c r="B51" s="184">
        <v>0.67</v>
      </c>
    </row>
    <row r="52">
      <c r="A52" s="20" t="s">
        <v>141</v>
      </c>
      <c r="B52" s="184">
        <v>1.0</v>
      </c>
    </row>
    <row r="53">
      <c r="A53" s="20"/>
      <c r="B53" s="181"/>
    </row>
    <row r="54">
      <c r="A54" s="20" t="s">
        <v>55</v>
      </c>
      <c r="B54" s="185">
        <v>4.5</v>
      </c>
    </row>
    <row r="55">
      <c r="A55" s="20" t="s">
        <v>54</v>
      </c>
      <c r="B55" s="194">
        <v>0.075</v>
      </c>
    </row>
    <row r="56">
      <c r="A56" s="180"/>
      <c r="B56" s="181"/>
    </row>
    <row r="57">
      <c r="A57" s="182" t="s">
        <v>14</v>
      </c>
      <c r="B57" s="181"/>
    </row>
    <row r="58">
      <c r="A58" s="180" t="s">
        <v>67</v>
      </c>
      <c r="B58" s="181">
        <v>1000.0</v>
      </c>
    </row>
    <row r="59">
      <c r="A59" s="180" t="s">
        <v>68</v>
      </c>
      <c r="B59" s="181">
        <v>4000.0</v>
      </c>
    </row>
    <row r="60" hidden="1">
      <c r="A60" s="180" t="s">
        <v>142</v>
      </c>
      <c r="B60" s="184">
        <v>0.33</v>
      </c>
    </row>
    <row r="61">
      <c r="A61" s="197" t="s">
        <v>143</v>
      </c>
      <c r="B61" s="198">
        <v>0.33</v>
      </c>
    </row>
    <row r="63">
      <c r="A63" s="199" t="s">
        <v>122</v>
      </c>
      <c r="D63" s="50" t="s">
        <v>144</v>
      </c>
    </row>
    <row r="64">
      <c r="A64" s="200" t="s">
        <v>53</v>
      </c>
      <c r="B64" s="201">
        <v>50000.0</v>
      </c>
      <c r="D64" s="44" t="s">
        <v>145</v>
      </c>
    </row>
    <row r="65">
      <c r="A65" s="180" t="s">
        <v>128</v>
      </c>
      <c r="B65" s="189">
        <v>1500.0</v>
      </c>
      <c r="D65" s="44" t="s">
        <v>146</v>
      </c>
    </row>
    <row r="66">
      <c r="A66" s="180" t="s">
        <v>133</v>
      </c>
      <c r="B66" s="181">
        <v>1.5E7</v>
      </c>
      <c r="D66" s="44" t="s">
        <v>147</v>
      </c>
      <c r="E66" s="73">
        <v>1.0E7</v>
      </c>
    </row>
    <row r="67">
      <c r="A67" s="180" t="s">
        <v>134</v>
      </c>
      <c r="B67" s="181">
        <v>6.0E7</v>
      </c>
      <c r="D67" s="44" t="s">
        <v>148</v>
      </c>
      <c r="E67" s="73">
        <v>4.5E7</v>
      </c>
    </row>
    <row r="68">
      <c r="A68" s="180" t="s">
        <v>135</v>
      </c>
      <c r="B68" s="193">
        <v>10.0</v>
      </c>
      <c r="D68" s="44" t="s">
        <v>149</v>
      </c>
      <c r="E68" s="73">
        <v>2.5E7</v>
      </c>
    </row>
    <row r="69">
      <c r="A69" s="180" t="s">
        <v>150</v>
      </c>
      <c r="B69" s="181">
        <v>1600000.0</v>
      </c>
      <c r="D69" s="44"/>
      <c r="E69" s="45"/>
    </row>
    <row r="70">
      <c r="A70" s="182"/>
      <c r="B70" s="183"/>
      <c r="D70" s="44" t="s">
        <v>151</v>
      </c>
      <c r="E70" s="45">
        <f>SUM(E66:E68)</f>
        <v>80000000</v>
      </c>
    </row>
    <row r="71">
      <c r="A71" s="182" t="s">
        <v>129</v>
      </c>
      <c r="B71" s="181"/>
      <c r="E71" s="45"/>
    </row>
    <row r="72">
      <c r="A72" s="180" t="s">
        <v>130</v>
      </c>
      <c r="B72" s="184">
        <v>0.0</v>
      </c>
      <c r="D72" s="44" t="s">
        <v>152</v>
      </c>
      <c r="E72" s="73">
        <v>2.5E7</v>
      </c>
    </row>
    <row r="73">
      <c r="A73" s="180" t="s">
        <v>131</v>
      </c>
      <c r="B73" s="202">
        <v>0.0</v>
      </c>
      <c r="D73" s="44" t="s">
        <v>153</v>
      </c>
      <c r="E73" s="45">
        <f>E70-E72</f>
        <v>55000000</v>
      </c>
    </row>
    <row r="74">
      <c r="A74" s="196" t="s">
        <v>140</v>
      </c>
      <c r="B74" s="184">
        <v>0.33</v>
      </c>
    </row>
    <row r="75">
      <c r="A75" s="20" t="s">
        <v>141</v>
      </c>
      <c r="B75" s="184">
        <v>0.67</v>
      </c>
      <c r="D75" s="44" t="s">
        <v>154</v>
      </c>
      <c r="E75" s="203">
        <v>0.5</v>
      </c>
    </row>
    <row r="76">
      <c r="A76" s="20" t="s">
        <v>155</v>
      </c>
      <c r="B76" s="184">
        <v>1.0</v>
      </c>
    </row>
    <row r="77">
      <c r="A77" s="20"/>
      <c r="B77" s="185"/>
      <c r="D77" s="44" t="s">
        <v>156</v>
      </c>
      <c r="E77" s="45">
        <f>E67-(E72*E75)</f>
        <v>32500000</v>
      </c>
    </row>
    <row r="78">
      <c r="A78" s="20" t="s">
        <v>55</v>
      </c>
      <c r="B78" s="185">
        <v>6.5</v>
      </c>
      <c r="D78" s="44" t="s">
        <v>147</v>
      </c>
      <c r="E78" s="204">
        <v>1.0E7</v>
      </c>
    </row>
    <row r="79">
      <c r="A79" s="20" t="s">
        <v>54</v>
      </c>
      <c r="B79" s="194">
        <v>0.075</v>
      </c>
      <c r="D79" s="44" t="s">
        <v>157</v>
      </c>
      <c r="E79" s="45">
        <f>SUM(E77:E78)</f>
        <v>42500000</v>
      </c>
    </row>
    <row r="80">
      <c r="A80" s="1"/>
      <c r="B80" s="183"/>
      <c r="D80" s="205" t="s">
        <v>158</v>
      </c>
      <c r="E80" s="206">
        <f>E79/E73</f>
        <v>0.7727272727</v>
      </c>
    </row>
    <row r="81">
      <c r="A81" s="182" t="s">
        <v>14</v>
      </c>
      <c r="B81" s="183"/>
      <c r="D81" s="44" t="s">
        <v>159</v>
      </c>
      <c r="E81" s="45">
        <f>E68-(E72*E75)</f>
        <v>12500000</v>
      </c>
    </row>
    <row r="82">
      <c r="A82" s="180" t="s">
        <v>67</v>
      </c>
      <c r="B82" s="183">
        <v>2000.0</v>
      </c>
      <c r="D82" s="205" t="s">
        <v>160</v>
      </c>
      <c r="E82" s="207">
        <f>E81/E73</f>
        <v>0.2272727273</v>
      </c>
    </row>
    <row r="83">
      <c r="A83" s="180" t="s">
        <v>68</v>
      </c>
      <c r="B83" s="183">
        <v>8000.0</v>
      </c>
    </row>
    <row r="84" hidden="1">
      <c r="A84" s="180" t="s">
        <v>142</v>
      </c>
      <c r="B84" s="184">
        <v>0.33</v>
      </c>
    </row>
    <row r="85">
      <c r="A85" s="197" t="s">
        <v>143</v>
      </c>
      <c r="B85" s="198">
        <v>0.33</v>
      </c>
    </row>
  </sheetData>
  <mergeCells count="4">
    <mergeCell ref="A12:B12"/>
    <mergeCell ref="A27:B27"/>
    <mergeCell ref="A63:B63"/>
    <mergeCell ref="A1:B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8" t="s">
        <v>161</v>
      </c>
      <c r="B1" s="108"/>
      <c r="C1" s="209" t="str">
        <f t="shared" ref="C1:F1" si="1">round(C2/sum(C4:C5),0.1)&amp;":1"</f>
        <v>25:1</v>
      </c>
      <c r="D1" s="209" t="str">
        <f t="shared" si="1"/>
        <v>25:1</v>
      </c>
      <c r="E1" s="209" t="str">
        <f t="shared" si="1"/>
        <v>25:1</v>
      </c>
      <c r="F1" s="209" t="str">
        <f t="shared" si="1"/>
        <v>25:1</v>
      </c>
    </row>
    <row r="2">
      <c r="A2" s="108"/>
      <c r="B2" s="210" t="s">
        <v>52</v>
      </c>
      <c r="C2" s="211">
        <v>400.0</v>
      </c>
      <c r="D2" s="211">
        <v>400.0</v>
      </c>
      <c r="E2" s="211">
        <v>400.0</v>
      </c>
      <c r="F2" s="211">
        <v>400.0</v>
      </c>
    </row>
    <row r="3">
      <c r="A3" s="212"/>
      <c r="B3" s="213">
        <v>0.15</v>
      </c>
      <c r="C3" s="214" t="s">
        <v>162</v>
      </c>
      <c r="D3" s="214" t="s">
        <v>163</v>
      </c>
      <c r="E3" s="214" t="s">
        <v>164</v>
      </c>
      <c r="F3" s="214" t="s">
        <v>165</v>
      </c>
    </row>
    <row r="4">
      <c r="A4" s="108" t="s">
        <v>166</v>
      </c>
      <c r="B4" s="215">
        <v>150000.0</v>
      </c>
      <c r="C4" s="216">
        <v>2.0</v>
      </c>
      <c r="D4" s="216">
        <v>2.0</v>
      </c>
      <c r="E4" s="216">
        <v>2.0</v>
      </c>
      <c r="F4" s="216">
        <v>2.0</v>
      </c>
    </row>
    <row r="5">
      <c r="A5" s="108" t="s">
        <v>167</v>
      </c>
      <c r="B5" s="215">
        <v>100000.0</v>
      </c>
      <c r="C5" s="217">
        <v>14.0</v>
      </c>
      <c r="D5" s="217">
        <v>14.0</v>
      </c>
      <c r="E5" s="217">
        <v>14.0</v>
      </c>
      <c r="F5" s="217">
        <v>14.0</v>
      </c>
    </row>
    <row r="6">
      <c r="A6" s="108" t="s">
        <v>168</v>
      </c>
      <c r="B6" s="215">
        <v>60000.0</v>
      </c>
      <c r="C6" s="216">
        <v>2.0</v>
      </c>
      <c r="D6" s="216">
        <v>2.0</v>
      </c>
      <c r="E6" s="216">
        <v>2.0</v>
      </c>
      <c r="F6" s="216">
        <v>2.0</v>
      </c>
    </row>
    <row r="7">
      <c r="A7" s="108" t="s">
        <v>169</v>
      </c>
      <c r="B7" s="215">
        <v>200000.0</v>
      </c>
      <c r="C7" s="218">
        <v>1.0</v>
      </c>
      <c r="D7" s="219"/>
      <c r="E7" s="219"/>
      <c r="F7" s="220"/>
    </row>
    <row r="8">
      <c r="A8" s="108" t="s">
        <v>170</v>
      </c>
      <c r="B8" s="215">
        <v>60000.0</v>
      </c>
      <c r="C8" s="218">
        <v>1.0</v>
      </c>
      <c r="D8" s="219"/>
      <c r="E8" s="219"/>
      <c r="F8" s="220"/>
    </row>
    <row r="9">
      <c r="A9" s="108" t="s">
        <v>171</v>
      </c>
      <c r="B9" s="108"/>
      <c r="C9" s="221">
        <f t="shared" ref="C9:F9" si="2">C2/C4</f>
        <v>200</v>
      </c>
      <c r="D9" s="221">
        <f t="shared" si="2"/>
        <v>200</v>
      </c>
      <c r="E9" s="221">
        <f t="shared" si="2"/>
        <v>200</v>
      </c>
      <c r="F9" s="221">
        <f t="shared" si="2"/>
        <v>200</v>
      </c>
    </row>
    <row r="10">
      <c r="A10" s="108" t="s">
        <v>172</v>
      </c>
      <c r="B10" s="108"/>
      <c r="C10" s="221">
        <f t="shared" ref="C10:F10" si="3">C2/(C5+C6)</f>
        <v>25</v>
      </c>
      <c r="D10" s="221">
        <f t="shared" si="3"/>
        <v>25</v>
      </c>
      <c r="E10" s="221">
        <f t="shared" si="3"/>
        <v>25</v>
      </c>
      <c r="F10" s="221">
        <f t="shared" si="3"/>
        <v>25</v>
      </c>
    </row>
    <row r="11">
      <c r="A11" s="108" t="s">
        <v>173</v>
      </c>
      <c r="B11" s="108"/>
      <c r="C11" s="222">
        <f t="shared" ref="C11:F11" si="4">(1+$B3)*sumproduct(C4:C6*$B4:$B6)/C2+$I7+$I8</f>
        <v>5232.5</v>
      </c>
      <c r="D11" s="222">
        <f t="shared" si="4"/>
        <v>5232.5</v>
      </c>
      <c r="E11" s="222">
        <f t="shared" si="4"/>
        <v>5232.5</v>
      </c>
      <c r="F11" s="222">
        <f t="shared" si="4"/>
        <v>5232.5</v>
      </c>
    </row>
    <row r="12">
      <c r="A12" s="156" t="s">
        <v>174</v>
      </c>
      <c r="B12" s="108"/>
      <c r="C12" s="223">
        <f t="shared" ref="C12:F12" si="5">(1+$B$3)*((($C$7*$B$7)+($B$8*$C$8))/C2)</f>
        <v>747.5</v>
      </c>
      <c r="D12" s="223">
        <f t="shared" si="5"/>
        <v>747.5</v>
      </c>
      <c r="E12" s="223">
        <f t="shared" si="5"/>
        <v>747.5</v>
      </c>
      <c r="F12" s="223">
        <f t="shared" si="5"/>
        <v>747.5</v>
      </c>
    </row>
    <row r="13">
      <c r="A13" s="108" t="s">
        <v>175</v>
      </c>
      <c r="B13" s="108"/>
      <c r="C13" s="223">
        <v>1000.0</v>
      </c>
      <c r="D13" s="223">
        <v>1000.0</v>
      </c>
      <c r="E13" s="223">
        <v>1000.0</v>
      </c>
      <c r="F13" s="223">
        <v>1000.0</v>
      </c>
    </row>
    <row r="14">
      <c r="A14" s="108" t="s">
        <v>176</v>
      </c>
      <c r="B14" s="108"/>
      <c r="C14" s="223">
        <v>1500.0</v>
      </c>
      <c r="D14" s="223">
        <v>1500.0</v>
      </c>
      <c r="E14" s="223">
        <v>2000.0</v>
      </c>
      <c r="F14" s="223">
        <v>2000.0</v>
      </c>
    </row>
    <row r="15">
      <c r="A15" s="108" t="s">
        <v>177</v>
      </c>
      <c r="B15" s="108"/>
      <c r="C15" s="222">
        <f t="shared" ref="C15:F15" si="6">sum(C11:C14)</f>
        <v>8480</v>
      </c>
      <c r="D15" s="222">
        <f t="shared" si="6"/>
        <v>8480</v>
      </c>
      <c r="E15" s="222">
        <f t="shared" si="6"/>
        <v>8980</v>
      </c>
      <c r="F15" s="222">
        <f t="shared" si="6"/>
        <v>8980</v>
      </c>
    </row>
    <row r="17">
      <c r="A17" s="208" t="s">
        <v>161</v>
      </c>
      <c r="B17" s="108"/>
      <c r="C17" s="209" t="str">
        <f t="shared" ref="C17:F17" si="7">round(C18/sum(C20:C21),0.1)&amp;":1"</f>
        <v>25:1</v>
      </c>
      <c r="D17" s="209" t="str">
        <f t="shared" si="7"/>
        <v>25:1</v>
      </c>
      <c r="E17" s="209" t="str">
        <f t="shared" si="7"/>
        <v>25:1</v>
      </c>
      <c r="F17" s="209" t="str">
        <f t="shared" si="7"/>
        <v>25:1</v>
      </c>
    </row>
    <row r="18">
      <c r="A18" s="108"/>
      <c r="B18" s="210" t="s">
        <v>52</v>
      </c>
      <c r="C18" s="211">
        <v>1000.0</v>
      </c>
      <c r="D18" s="211">
        <v>1000.0</v>
      </c>
      <c r="E18" s="211">
        <v>1000.0</v>
      </c>
      <c r="F18" s="211">
        <v>1000.0</v>
      </c>
    </row>
    <row r="19">
      <c r="A19" s="212"/>
      <c r="B19" s="213">
        <v>0.15</v>
      </c>
      <c r="C19" s="214" t="s">
        <v>162</v>
      </c>
      <c r="D19" s="214" t="s">
        <v>163</v>
      </c>
      <c r="E19" s="214" t="s">
        <v>164</v>
      </c>
      <c r="F19" s="214" t="s">
        <v>165</v>
      </c>
    </row>
    <row r="20">
      <c r="A20" s="108" t="s">
        <v>166</v>
      </c>
      <c r="B20" s="215">
        <v>150000.0</v>
      </c>
      <c r="C20" s="216">
        <v>2.0</v>
      </c>
      <c r="D20" s="216">
        <v>2.0</v>
      </c>
      <c r="E20" s="216">
        <v>2.0</v>
      </c>
      <c r="F20" s="216">
        <v>2.0</v>
      </c>
    </row>
    <row r="21">
      <c r="A21" s="108" t="s">
        <v>167</v>
      </c>
      <c r="B21" s="215">
        <v>100000.0</v>
      </c>
      <c r="C21" s="224">
        <f t="shared" ref="C21:F21" si="8">C18/C26-C20</f>
        <v>38</v>
      </c>
      <c r="D21" s="224">
        <f t="shared" si="8"/>
        <v>38</v>
      </c>
      <c r="E21" s="224">
        <f t="shared" si="8"/>
        <v>38</v>
      </c>
      <c r="F21" s="224">
        <f t="shared" si="8"/>
        <v>38</v>
      </c>
    </row>
    <row r="22">
      <c r="A22" s="108" t="s">
        <v>168</v>
      </c>
      <c r="B22" s="215">
        <v>60000.0</v>
      </c>
      <c r="C22" s="216">
        <v>8.0</v>
      </c>
      <c r="D22" s="216">
        <v>8.0</v>
      </c>
      <c r="E22" s="216">
        <v>8.0</v>
      </c>
      <c r="F22" s="216">
        <v>8.0</v>
      </c>
    </row>
    <row r="23">
      <c r="A23" s="108" t="s">
        <v>169</v>
      </c>
      <c r="B23" s="215">
        <v>200000.0</v>
      </c>
      <c r="C23" s="218">
        <v>1.0</v>
      </c>
      <c r="D23" s="219"/>
      <c r="E23" s="219"/>
      <c r="F23" s="220"/>
    </row>
    <row r="24">
      <c r="A24" s="108" t="s">
        <v>170</v>
      </c>
      <c r="B24" s="215">
        <v>60000.0</v>
      </c>
      <c r="C24" s="218">
        <v>1.0</v>
      </c>
      <c r="D24" s="219"/>
      <c r="E24" s="219"/>
      <c r="F24" s="220"/>
    </row>
    <row r="25">
      <c r="A25" s="108" t="s">
        <v>171</v>
      </c>
      <c r="B25" s="108"/>
      <c r="C25" s="216">
        <f t="shared" ref="C25:F25" si="9">C18/C20</f>
        <v>500</v>
      </c>
      <c r="D25" s="216">
        <f t="shared" si="9"/>
        <v>500</v>
      </c>
      <c r="E25" s="216">
        <f t="shared" si="9"/>
        <v>500</v>
      </c>
      <c r="F25" s="216">
        <f t="shared" si="9"/>
        <v>500</v>
      </c>
    </row>
    <row r="26">
      <c r="A26" s="108" t="s">
        <v>172</v>
      </c>
      <c r="B26" s="108"/>
      <c r="C26" s="221">
        <v>25.0</v>
      </c>
      <c r="D26" s="221">
        <v>25.0</v>
      </c>
      <c r="E26" s="221">
        <v>25.0</v>
      </c>
      <c r="F26" s="221">
        <v>25.0</v>
      </c>
    </row>
    <row r="27">
      <c r="A27" s="108" t="s">
        <v>173</v>
      </c>
      <c r="B27" s="108"/>
      <c r="C27" s="222">
        <f t="shared" ref="C27:F27" si="10">(1+$B19)*sumproduct(C20:C22*$B20:$B22)/C18+$I23+$I24</f>
        <v>5267</v>
      </c>
      <c r="D27" s="222">
        <f t="shared" si="10"/>
        <v>5267</v>
      </c>
      <c r="E27" s="222">
        <f t="shared" si="10"/>
        <v>5267</v>
      </c>
      <c r="F27" s="222">
        <f t="shared" si="10"/>
        <v>5267</v>
      </c>
    </row>
    <row r="28">
      <c r="A28" s="156" t="s">
        <v>174</v>
      </c>
      <c r="B28" s="108"/>
      <c r="C28" s="223">
        <f t="shared" ref="C28:F28" si="11">(1+$B$19)*((($C$23*$B$23)+($B$24*$C$24))/C18)</f>
        <v>299</v>
      </c>
      <c r="D28" s="223">
        <f t="shared" si="11"/>
        <v>299</v>
      </c>
      <c r="E28" s="223">
        <f t="shared" si="11"/>
        <v>299</v>
      </c>
      <c r="F28" s="223">
        <f t="shared" si="11"/>
        <v>299</v>
      </c>
    </row>
    <row r="29">
      <c r="A29" s="108" t="s">
        <v>175</v>
      </c>
      <c r="B29" s="108"/>
      <c r="C29" s="223">
        <v>1000.0</v>
      </c>
      <c r="D29" s="223">
        <v>1000.0</v>
      </c>
      <c r="E29" s="223">
        <v>1000.0</v>
      </c>
      <c r="F29" s="223">
        <v>1000.0</v>
      </c>
    </row>
    <row r="30">
      <c r="A30" s="108" t="s">
        <v>176</v>
      </c>
      <c r="B30" s="108"/>
      <c r="C30" s="223">
        <v>1500.0</v>
      </c>
      <c r="D30" s="223">
        <v>1500.0</v>
      </c>
      <c r="E30" s="223">
        <v>2000.0</v>
      </c>
      <c r="F30" s="223">
        <v>2000.0</v>
      </c>
    </row>
    <row r="31">
      <c r="A31" s="108" t="s">
        <v>177</v>
      </c>
      <c r="B31" s="108"/>
      <c r="C31" s="222">
        <f t="shared" ref="C31:F31" si="12">sum(C27:C30)</f>
        <v>8066</v>
      </c>
      <c r="D31" s="222">
        <f t="shared" si="12"/>
        <v>8066</v>
      </c>
      <c r="E31" s="222">
        <f t="shared" si="12"/>
        <v>8566</v>
      </c>
      <c r="F31" s="222">
        <f t="shared" si="12"/>
        <v>8566</v>
      </c>
    </row>
    <row r="33">
      <c r="A33" s="208" t="s">
        <v>161</v>
      </c>
      <c r="B33" s="108"/>
      <c r="C33" s="209" t="str">
        <f t="shared" ref="C33:F33" si="13">round(C34/sum(C36:C37),0.1)&amp;":1"</f>
        <v>25:1</v>
      </c>
      <c r="D33" s="209" t="str">
        <f t="shared" si="13"/>
        <v>25:1</v>
      </c>
      <c r="E33" s="209" t="str">
        <f t="shared" si="13"/>
        <v>25:1</v>
      </c>
      <c r="F33" s="209" t="str">
        <f t="shared" si="13"/>
        <v>25:1</v>
      </c>
    </row>
    <row r="34">
      <c r="A34" s="108"/>
      <c r="B34" s="210" t="s">
        <v>52</v>
      </c>
      <c r="C34" s="211">
        <v>1500.0</v>
      </c>
      <c r="D34" s="211">
        <v>1500.0</v>
      </c>
      <c r="E34" s="211">
        <v>1500.0</v>
      </c>
      <c r="F34" s="211">
        <v>1500.0</v>
      </c>
    </row>
    <row r="35">
      <c r="A35" s="212"/>
      <c r="B35" s="213">
        <v>0.15</v>
      </c>
      <c r="C35" s="214" t="s">
        <v>162</v>
      </c>
      <c r="D35" s="214" t="s">
        <v>163</v>
      </c>
      <c r="E35" s="214" t="s">
        <v>164</v>
      </c>
      <c r="F35" s="214" t="s">
        <v>165</v>
      </c>
    </row>
    <row r="36">
      <c r="A36" s="108" t="s">
        <v>166</v>
      </c>
      <c r="B36" s="215">
        <v>150000.0</v>
      </c>
      <c r="C36" s="216">
        <v>2.0</v>
      </c>
      <c r="D36" s="216">
        <v>2.0</v>
      </c>
      <c r="E36" s="216">
        <v>2.0</v>
      </c>
      <c r="F36" s="216">
        <v>2.0</v>
      </c>
    </row>
    <row r="37">
      <c r="A37" s="108" t="s">
        <v>167</v>
      </c>
      <c r="B37" s="215">
        <v>100000.0</v>
      </c>
      <c r="C37" s="224">
        <f t="shared" ref="C37:F37" si="14">C34/C42-C36</f>
        <v>58</v>
      </c>
      <c r="D37" s="224">
        <f t="shared" si="14"/>
        <v>58</v>
      </c>
      <c r="E37" s="224">
        <f t="shared" si="14"/>
        <v>58</v>
      </c>
      <c r="F37" s="224">
        <f t="shared" si="14"/>
        <v>58</v>
      </c>
    </row>
    <row r="38">
      <c r="A38" s="108" t="s">
        <v>168</v>
      </c>
      <c r="B38" s="215">
        <v>60000.0</v>
      </c>
      <c r="C38" s="216">
        <v>8.0</v>
      </c>
      <c r="D38" s="216">
        <v>8.0</v>
      </c>
      <c r="E38" s="216">
        <v>8.0</v>
      </c>
      <c r="F38" s="216">
        <v>8.0</v>
      </c>
    </row>
    <row r="39">
      <c r="A39" s="108" t="s">
        <v>169</v>
      </c>
      <c r="B39" s="215">
        <v>200000.0</v>
      </c>
      <c r="C39" s="218">
        <v>1.0</v>
      </c>
      <c r="D39" s="219"/>
      <c r="E39" s="219"/>
      <c r="F39" s="220"/>
    </row>
    <row r="40">
      <c r="A40" s="108" t="s">
        <v>170</v>
      </c>
      <c r="B40" s="215">
        <v>60000.0</v>
      </c>
      <c r="C40" s="218">
        <v>1.0</v>
      </c>
      <c r="D40" s="219"/>
      <c r="E40" s="219"/>
      <c r="F40" s="220"/>
    </row>
    <row r="41">
      <c r="A41" s="108" t="s">
        <v>171</v>
      </c>
      <c r="B41" s="108"/>
      <c r="C41" s="216">
        <f t="shared" ref="C41:F41" si="15">C34/C36</f>
        <v>750</v>
      </c>
      <c r="D41" s="216">
        <f t="shared" si="15"/>
        <v>750</v>
      </c>
      <c r="E41" s="216">
        <f t="shared" si="15"/>
        <v>750</v>
      </c>
      <c r="F41" s="216">
        <f t="shared" si="15"/>
        <v>750</v>
      </c>
    </row>
    <row r="42">
      <c r="A42" s="108" t="s">
        <v>172</v>
      </c>
      <c r="B42" s="108"/>
      <c r="C42" s="221">
        <v>25.0</v>
      </c>
      <c r="D42" s="221">
        <v>25.0</v>
      </c>
      <c r="E42" s="221">
        <v>25.0</v>
      </c>
      <c r="F42" s="221">
        <v>25.0</v>
      </c>
    </row>
    <row r="43">
      <c r="A43" s="108" t="s">
        <v>173</v>
      </c>
      <c r="B43" s="108"/>
      <c r="C43" s="222">
        <f t="shared" ref="C43:F43" si="16">(1+$B35)*sumproduct(C36:C38*$B36:$B38)/C34+$I39+$I40</f>
        <v>5044.666667</v>
      </c>
      <c r="D43" s="222">
        <f t="shared" si="16"/>
        <v>5044.666667</v>
      </c>
      <c r="E43" s="222">
        <f t="shared" si="16"/>
        <v>5044.666667</v>
      </c>
      <c r="F43" s="222">
        <f t="shared" si="16"/>
        <v>5044.666667</v>
      </c>
    </row>
    <row r="44">
      <c r="A44" s="156" t="s">
        <v>174</v>
      </c>
      <c r="B44" s="108"/>
      <c r="C44" s="223">
        <f t="shared" ref="C44:F44" si="17">(1+$B$19)*((($C$23*$B$23)+($B$24*$C$24))/C34)</f>
        <v>199.3333333</v>
      </c>
      <c r="D44" s="223">
        <f t="shared" si="17"/>
        <v>199.3333333</v>
      </c>
      <c r="E44" s="223">
        <f t="shared" si="17"/>
        <v>199.3333333</v>
      </c>
      <c r="F44" s="223">
        <f t="shared" si="17"/>
        <v>199.3333333</v>
      </c>
    </row>
    <row r="45">
      <c r="A45" s="108" t="s">
        <v>175</v>
      </c>
      <c r="B45" s="108"/>
      <c r="C45" s="223">
        <v>1000.0</v>
      </c>
      <c r="D45" s="223">
        <v>1000.0</v>
      </c>
      <c r="E45" s="223">
        <v>1000.0</v>
      </c>
      <c r="F45" s="223">
        <v>1000.0</v>
      </c>
    </row>
    <row r="46">
      <c r="A46" s="108" t="s">
        <v>176</v>
      </c>
      <c r="B46" s="108"/>
      <c r="C46" s="223">
        <v>1500.0</v>
      </c>
      <c r="D46" s="223">
        <v>1500.0</v>
      </c>
      <c r="E46" s="223">
        <v>2000.0</v>
      </c>
      <c r="F46" s="223">
        <v>2000.0</v>
      </c>
    </row>
    <row r="47">
      <c r="A47" s="108" t="s">
        <v>177</v>
      </c>
      <c r="B47" s="108"/>
      <c r="C47" s="222">
        <f t="shared" ref="C47:F47" si="18">sum(C43:C46)</f>
        <v>7744</v>
      </c>
      <c r="D47" s="222">
        <f t="shared" si="18"/>
        <v>7744</v>
      </c>
      <c r="E47" s="222">
        <f t="shared" si="18"/>
        <v>8244</v>
      </c>
      <c r="F47" s="222">
        <f t="shared" si="18"/>
        <v>8244</v>
      </c>
    </row>
  </sheetData>
  <mergeCells count="6">
    <mergeCell ref="C7:F7"/>
    <mergeCell ref="C8:F8"/>
    <mergeCell ref="C23:F23"/>
    <mergeCell ref="C24:F24"/>
    <mergeCell ref="C39:F39"/>
    <mergeCell ref="C40:F40"/>
  </mergeCells>
  <drawing r:id="rId2"/>
  <legacyDrawing r:id="rId3"/>
</worksheet>
</file>